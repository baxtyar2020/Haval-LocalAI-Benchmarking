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d77100c7fc4086" /></Relationships>
</file>

<file path=xl/workbook.xml><?xml version="1.0" encoding="utf-8"?>
<x:workbook xmlns:x="http://schemas.openxmlformats.org/spreadsheetml/2006/main">
  <x:sheets>
    <x:sheet xmlns:r="http://schemas.openxmlformats.org/officeDocument/2006/relationships" name="Overview" sheetId="1" r:id="R53aa235427e847d0"/>
    <x:sheet xmlns:r="http://schemas.openxmlformats.org/officeDocument/2006/relationships" name="Scenario Matrix" sheetId="2" r:id="R092698f81703439c"/>
    <x:sheet xmlns:r="http://schemas.openxmlformats.org/officeDocument/2006/relationships" name="Scoring Rubric" sheetId="3" r:id="R7d26e27cd8194b26"/>
    <x:sheet xmlns:r="http://schemas.openxmlformats.org/officeDocument/2006/relationships" name="Research Sources" sheetId="4" r:id="Ra9e87a3560224e2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1"/>
      <x:color rgb="FFFFFFFF"/>
      <x:name val="Carlito"/>
    </x:font>
    <x:font>
      <x:sz val="9"/>
      <x:color rgb="FF172033"/>
      <x:name val="Aptos"/>
    </x:font>
    <x:font>
      <x:b/>
      <x:sz val="22"/>
      <x:color rgb="FFFFFFFF"/>
      <x:name val="Aptos Display"/>
    </x:font>
    <x:font>
      <x:b/>
      <x:sz val="11"/>
      <x:color rgb="FF17365D"/>
      <x:name val="Carlito"/>
    </x:font>
    <x:font>
      <x:b/>
      <x:sz val="22"/>
      <x:color rgb="FFFFFFFF"/>
      <x:name val="Aptos"/>
    </x:font>
    <x:font>
      <x:b/>
      <x:sz val="11"/>
      <x:color rgb="FF17365D"/>
      <x:name val="Aptos"/>
    </x:font>
    <x:font>
      <x:sz val="11"/>
      <x:name val="Aptos"/>
    </x:font>
    <x:font>
      <x:b/>
      <x:sz val="11"/>
      <x:color rgb="FFFFFFFF"/>
      <x:name val="Aptos"/>
    </x:font>
    <x:font>
      <x:b/>
      <x:sz val="18"/>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s>
  <x:borders count="10">
    <x:border/>
    <x:border>
      <x:bottom style="thin">
        <x:color rgb="FFD9E2F3"/>
      </x:bottom>
    </x:border>
    <x:border>
      <x:top style="thin">
        <x:color rgb="FFD9E2F3"/>
      </x:top>
      <x:bottom style="thin">
        <x:color rgb="FFD9E2F3"/>
      </x:bottom>
    </x:border>
    <x:border>
      <x:top style="thin">
        <x:color rgb="FFD9E2F3"/>
      </x:top>
    </x:border>
    <x:border>
      <x:left style="thin">
        <x:color rgb="FF9FBAD0"/>
      </x:left>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right style="thin">
        <x:color rgb="FF9FBAD0"/>
      </x:right>
      <x:bottom style="thin">
        <x:color rgb="FF9FBAD0"/>
      </x:bottom>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x:xf>
    <x:xf numFmtId="0" fontId="2" fillId="0" borderId="1" xfId="0" applyNumberFormat="1" applyFont="1" applyFill="1" applyBorder="1" applyAlignment="1">
      <x:alignment vertical="center"/>
    </x:xf>
    <x:xf numFmtId="0" fontId="2" fillId="0" borderId="1"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1" xfId="0" applyNumberFormat="1" applyFont="1" applyFill="1" applyBorder="1" applyAlignment="1">
      <x:alignment vertical="top"/>
    </x:xf>
    <x:xf numFmtId="0" fontId="2" fillId="0" borderId="1" xfId="0" applyNumberFormat="1" applyFont="1" applyFill="1" applyBorder="1" applyAlignment="1">
      <x:alignment vertical="top"/>
    </x:xf>
    <x:xf numFmtId="0" fontId="2" fillId="0" borderId="2" xfId="0" applyNumberFormat="1" applyFont="1" applyFill="1" applyBorder="1" applyAlignment="1">
      <x:alignment vertical="center"/>
    </x:xf>
    <x:xf numFmtId="0" fontId="2" fillId="0" borderId="2"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2" xfId="0" applyNumberFormat="1" applyFont="1" applyFill="1" applyBorder="1" applyAlignment="1">
      <x:alignment vertical="top"/>
    </x:xf>
    <x:xf numFmtId="0" fontId="2" fillId="0" borderId="2" xfId="0" applyNumberFormat="1" applyFont="1" applyFill="1" applyBorder="1" applyAlignment="1">
      <x:alignment vertical="top"/>
    </x:xf>
    <x:xf numFmtId="0" fontId="2" fillId="0" borderId="3" xfId="0" applyNumberFormat="1" applyFont="1" applyFill="1" applyBorder="1" applyAlignment="1">
      <x:alignment vertical="center"/>
    </x:xf>
    <x:xf numFmtId="0" fontId="2" fillId="0" borderId="3"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3" xfId="0" applyNumberFormat="1" applyFont="1" applyFill="1" applyBorder="1" applyAlignment="1">
      <x:alignment vertical="top"/>
    </x:xf>
    <x:xf numFmtId="0" fontId="2" fillId="0" borderId="3" xfId="0" applyNumberFormat="1" applyFont="1" applyFill="1" applyBorder="1" applyAlignment="1">
      <x:alignment vertical="top"/>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1" fillId="4" borderId="4" xfId="0" applyNumberFormat="1" applyFont="1" applyFill="1" applyBorder="1"/>
    <x:xf numFmtId="0" fontId="1" fillId="4" borderId="5"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3" borderId="0"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3" borderId="0" xfId="0" applyNumberFormat="1" applyFont="1" applyFill="1" applyBorder="1" applyAlignment="1">
      <x:alignment horizontal="center"/>
    </x:xf>
    <x:xf numFmtId="0" fontId="7" fillId="0" borderId="0" xfId="0" applyNumberFormat="1" applyFont="1" applyFill="1" applyBorder="1"/>
    <x:xf numFmtId="0" fontId="8" fillId="4" borderId="4" xfId="0" applyNumberFormat="1" applyFont="1" applyFill="1" applyBorder="1"/>
    <x:xf numFmtId="0" fontId="8" fillId="4" borderId="5" xfId="0" applyNumberFormat="1" applyFont="1" applyFill="1" applyBorder="1"/>
    <x:xf numFmtId="0" fontId="8" fillId="4" borderId="0" xfId="0" applyNumberFormat="1" applyFont="1" applyFill="1" applyBorder="1" applyAlignment="1">
      <x:alignment wrapText="1"/>
    </x:xf>
    <x:xf numFmtId="0" fontId="7" fillId="0" borderId="6" xfId="0" applyNumberFormat="1" applyFont="1" applyFill="1" applyBorder="1"/>
    <x:xf numFmtId="0" fontId="7" fillId="0" borderId="7" xfId="0" applyNumberFormat="1" applyFont="1" applyFill="1" applyBorder="1"/>
    <x:xf numFmtId="0" fontId="7" fillId="0" borderId="0" xfId="0" applyNumberFormat="1" applyFont="1" applyFill="1" applyBorder="1" applyAlignment="1">
      <x:alignment vertical="top" wrapText="1"/>
    </x:xf>
    <x:xf numFmtId="0" fontId="7" fillId="0" borderId="8" xfId="0" applyNumberFormat="1" applyFont="1" applyFill="1" applyBorder="1"/>
    <x:xf numFmtId="0" fontId="7" fillId="0" borderId="9" xfId="0" applyNumberFormat="1" applyFont="1" applyFill="1" applyBorder="1"/>
    <x:xf numFmtId="0" fontId="8" fillId="2" borderId="0" xfId="0" applyNumberFormat="1" applyFont="1" applyFill="1" applyBorder="1"/>
    <x:xf numFmtId="0" fontId="6" fillId="3" borderId="0" xfId="0" applyNumberFormat="1" applyFont="1" applyFill="1" applyBorder="1" applyAlignment="1">
      <x:alignment wrapText="1"/>
    </x:xf>
    <x:xf numFmtId="0" fontId="7" fillId="0" borderId="0" xfId="0" applyNumberFormat="1" applyFont="1" applyFill="1" applyBorder="1" applyAlignment="1">
      <x:alignment wrapText="1"/>
    </x:xf>
    <x:xf numFmtId="0" fontId="9" fillId="2" borderId="0" xfId="0" applyNumberFormat="1" applyFont="1" applyFill="1" applyBorder="1"/>
    <x:xf numFmtId="0" fontId="9" fillId="2" borderId="0" xfId="0" applyNumberFormat="1" applyFont="1" applyFill="1" applyBorder="1" applyAlignment="1">
      <x:alignment horizontal="center"/>
    </x:xf>
    <x:xf numFmtId="0" fontId="1" fillId="2" borderId="1" xfId="0" applyNumberFormat="1" applyFont="1" applyFill="1" applyBorder="1"/>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cellXfs>
  <x:cellStyles count="1">
    <x:cellStyle name="Normal" xfId="0"/>
  </x:cellStyles>
  <x:dxfs count="3">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fa7201c9be465a" /><Relationship Type="http://schemas.openxmlformats.org/officeDocument/2006/relationships/theme" Target="/xl/theme/theme1.xml" Id="Rd8307d2b85be47af" /><Relationship Type="http://schemas.openxmlformats.org/officeDocument/2006/relationships/sharedStrings" Target="/xl/sharedStrings.xml" Id="R658fa1100aef4153" /><Relationship Type="http://schemas.openxmlformats.org/officeDocument/2006/relationships/worksheet" Target="/xl/worksheets/sheet1.xml" Id="R53aa235427e847d0" /><Relationship Type="http://schemas.openxmlformats.org/officeDocument/2006/relationships/worksheet" Target="/xl/worksheets/sheet2.xml" Id="R092698f81703439c" /><Relationship Type="http://schemas.openxmlformats.org/officeDocument/2006/relationships/worksheet" Target="/xl/worksheets/sheet3.xml" Id="R7d26e27cd8194b26" /><Relationship Type="http://schemas.openxmlformats.org/officeDocument/2006/relationships/worksheet" Target="/xl/worksheets/sheet4.xml" Id="Ra9e87a3560224e23" /></Relationships>
</file>

<file path=xl/tables/table1.xml><?xml version="1.0" encoding="utf-8"?>
<x:table xmlns:x="http://schemas.openxmlformats.org/spreadsheetml/2006/main" id="1" name="PersonaScenarioMatrix" displayName="PersonaScenarioMatrix" ref="A1:U61" headerRowCount="1" totalsRowCount="0" totalsRowShown="0">
  <x:tableColumns count="21">
    <x:tableColumn id="1" name="ID"/>
    <x:tableColumn id="2" name="Business"/>
    <x:tableColumn id="3" name="Persona"/>
    <x:tableColumn id="4" name="Workload"/>
    <x:tableColumn id="5" name="Scenario"/>
    <x:tableColumn id="6" name="TTFT Target (sec)"/>
    <x:tableColumn id="7" name="Completion Limit (sec)"/>
    <x:tableColumn id="8" name="Required Input / Fixture"/>
    <x:tableColumn id="9" name="Actual Test Prompt"/>
    <x:tableColumn id="10" name="Primary Quality"/>
    <x:tableColumn id="11" name="Reasoning (R)"/>
    <x:tableColumn id="12" name="Math (M)"/>
    <x:tableColumn id="13" name="Coding &amp; Problem Solving (P)"/>
    <x:tableColumn id="14" name="Instruction Following (I)"/>
    <x:tableColumn id="15" name="Structured Output (S)"/>
    <x:tableColumn id="16" name="Factual Accuracy (F)"/>
    <x:tableColumn id="17" name="Creative Quality (C)"/>
    <x:tableColumn id="18" name="Hard Acceptance Gates"/>
    <x:tableColumn id="19" name="Recommended Grader"/>
    <x:tableColumn id="20" name="Applicable Quality Count"/>
    <x:tableColumn id="21" name="Research Bas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f06bc01420444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22" hidden="0" customWidth="1"/>
    <x:col min="5" max="5" width="10" hidden="0" customWidth="1"/>
    <x:col min="6" max="6" width="45" hidden="0" customWidth="1"/>
    <x:col min="7" max="7" width="36" hidden="0" customWidth="1"/>
    <x:col min="8" max="8" width="32" hidden="0" customWidth="1"/>
  </x:cols>
  <x:sheetData>
    <x:row r="1">
      <x:c r="A1" s="48" t="str">
        <x:v>Persona AI Workload + Quality Evaluation Matrix</x:v>
      </x:c>
      <x:c r="B1" s="48"/>
      <x:c r="C1" s="48"/>
      <x:c r="D1" s="48"/>
      <x:c r="E1" s="48"/>
      <x:c r="F1" s="48"/>
      <x:c r="G1" s="48"/>
      <x:c r="H1" s="48"/>
    </x:row>
    <x:row r="2">
      <x:c r="A2" s="48"/>
      <x:c r="B2" s="48"/>
      <x:c r="C2" s="48"/>
      <x:c r="D2" s="48"/>
      <x:c r="E2" s="48"/>
      <x:c r="F2" s="48"/>
      <x:c r="G2" s="48"/>
      <x:c r="H2" s="48"/>
    </x:row>
    <x:row r="3">
      <x:c r="A3" s="49" t="str">
        <x:v>60 executable evaluation scenarios · 20 personas · Light, Balanced, and Heavy workloads</x:v>
      </x:c>
      <x:c r="B3" s="49"/>
      <x:c r="C3" s="49"/>
      <x:c r="D3" s="49"/>
      <x:c r="E3" s="49"/>
      <x:c r="F3" s="49"/>
      <x:c r="G3" s="49"/>
      <x:c r="H3" s="49"/>
    </x:row>
    <x:row r="4">
      <x:c r="A4" s="50"/>
      <x:c r="B4" s="50"/>
      <x:c r="C4" s="50"/>
      <x:c r="D4" s="50"/>
      <x:c r="E4" s="50"/>
      <x:c r="F4" s="50"/>
      <x:c r="G4" s="50"/>
      <x:c r="H4" s="50"/>
    </x:row>
    <x:row r="5" ht="42" customHeight="1">
      <x:c r="A5" s="51" t="str">
        <x:v>Coverage</x:v>
      </x:c>
      <x:c r="B5" s="52" t="str">
        <x:v>Count</x:v>
      </x:c>
      <x:c r="C5" s="50"/>
      <x:c r="D5" s="53" t="str">
        <x:v>Quality Dimension</x:v>
      </x:c>
      <x:c r="E5" s="53" t="str">
        <x:v>Code</x:v>
      </x:c>
      <x:c r="F5" s="53" t="str">
        <x:v>What is measured</x:v>
      </x:c>
      <x:c r="G5" s="53" t="str">
        <x:v>Preferred grading</x:v>
      </x:c>
      <x:c r="H5" s="53" t="str">
        <x:v>Applicability</x:v>
      </x:c>
    </x:row>
    <x:row r="6" ht="42" customHeight="1">
      <x:c r="A6" s="54" t="str">
        <x:v>Total scenarios</x:v>
      </x:c>
      <x:c r="B6" s="55" t="n">
        <x:f>COUNTA('Scenario Matrix'!$A$2:$A$61)</x:f>
        <x:v>60</x:v>
      </x:c>
      <x:c r="C6" s="50"/>
      <x:c r="D6" s="56" t="str">
        <x:v>Reasoning</x:v>
      </x:c>
      <x:c r="E6" s="56" t="str">
        <x:v>R</x:v>
      </x:c>
      <x:c r="F6" s="56" t="str">
        <x:v>Constraint satisfaction, logic, prioritization, causal consistency</x:v>
      </x:c>
      <x:c r="G6" s="56" t="str">
        <x:v>Golden decisions / rule validator / rubric</x:v>
      </x:c>
      <x:c r="H6" s="56" t="str">
        <x:v>Only tasks requiring inference or planning</x:v>
      </x:c>
    </x:row>
    <x:row r="7" ht="42" customHeight="1">
      <x:c r="A7" s="54" t="str">
        <x:v>Consumer</x:v>
      </x:c>
      <x:c r="B7" s="55" t="n">
        <x:f>COUNTIF('Scenario Matrix'!$B$2:$B$61,A7)</x:f>
        <x:v>24</x:v>
      </x:c>
      <x:c r="C7" s="50"/>
      <x:c r="D7" s="56" t="str">
        <x:v>Math</x:v>
      </x:c>
      <x:c r="E7" s="56" t="str">
        <x:v>M</x:v>
      </x:c>
      <x:c r="F7" s="56" t="str">
        <x:v>Numerical correctness, units, calculations, reconciliation</x:v>
      </x:c>
      <x:c r="G7" s="56" t="str">
        <x:v>Exact or tolerance-based numeric match</x:v>
      </x:c>
      <x:c r="H7" s="56" t="str">
        <x:v>Only tasks containing calculations</x:v>
      </x:c>
    </x:row>
    <x:row r="8" ht="42" customHeight="1">
      <x:c r="A8" s="54" t="str">
        <x:v>Gaming</x:v>
      </x:c>
      <x:c r="B8" s="55" t="n">
        <x:f>COUNTIF('Scenario Matrix'!$B$2:$B$61,A8)</x:f>
        <x:v>12</x:v>
      </x:c>
      <x:c r="C8" s="50"/>
      <x:c r="D8" s="56" t="str">
        <x:v>Coding &amp; Problem Solving</x:v>
      </x:c>
      <x:c r="E8" s="56" t="str">
        <x:v>P</x:v>
      </x:c>
      <x:c r="F8" s="56" t="str">
        <x:v>Functional solution quality, diagnosis, edge cases, safety</x:v>
      </x:c>
      <x:c r="G8" s="56" t="str">
        <x:v>Hidden tests or golden troubleshooting path</x:v>
      </x:c>
      <x:c r="H8" s="56" t="str">
        <x:v>Coding and technical-resolution tasks</x:v>
      </x:c>
    </x:row>
    <x:row r="9" ht="42" customHeight="1">
      <x:c r="A9" s="54" t="str">
        <x:v>Commercial</x:v>
      </x:c>
      <x:c r="B9" s="55" t="n">
        <x:f>COUNTIF('Scenario Matrix'!$B$2:$B$61,A9)</x:f>
        <x:v>24</x:v>
      </x:c>
      <x:c r="C9" s="50"/>
      <x:c r="D9" s="56" t="str">
        <x:v>Instruction Following</x:v>
      </x:c>
      <x:c r="E9" s="56" t="str">
        <x:v>I</x:v>
      </x:c>
      <x:c r="F9" s="56" t="str">
        <x:v>Counts, format, labels, forbidden content, explicit constraints</x:v>
      </x:c>
      <x:c r="G9" s="56" t="str">
        <x:v>Programmatic IFEval-style checks</x:v>
      </x:c>
      <x:c r="H9" s="56" t="str">
        <x:v>Whenever prompt contains verifiable rules</x:v>
      </x:c>
    </x:row>
    <x:row r="10" ht="42" customHeight="1">
      <x:c r="A10" s="57" t="str">
        <x:v>Personas</x:v>
      </x:c>
      <x:c r="B10" s="58" t="n">
        <x:v>20</x:v>
      </x:c>
      <x:c r="C10" s="50"/>
      <x:c r="D10" s="56" t="str">
        <x:v>Structured Output</x:v>
      </x:c>
      <x:c r="E10" s="56" t="str">
        <x:v>S</x:v>
      </x:c>
      <x:c r="F10" s="56" t="str">
        <x:v>JSON syntax, schema, types, keys, semantic values</x:v>
      </x:c>
      <x:c r="G10" s="56" t="str">
        <x:v>JSON parser + schema + value checks</x:v>
      </x:c>
      <x:c r="H10" s="56" t="str">
        <x:v>Only machine-readable output tasks</x:v>
      </x:c>
    </x:row>
    <x:row r="11" ht="42" customHeight="1">
      <x:c r="A11" s="50"/>
      <x:c r="B11" s="50"/>
      <x:c r="C11" s="50"/>
      <x:c r="D11" s="56" t="str">
        <x:v>Factual Accuracy</x:v>
      </x:c>
      <x:c r="E11" s="56" t="str">
        <x:v>F</x:v>
      </x:c>
      <x:c r="F11" s="56" t="str">
        <x:v>Grounding, extraction correctness, completeness, no invention</x:v>
      </x:c>
      <x:c r="G11" s="56" t="str">
        <x:v>Source-fact matching / atomic-claim support</x:v>
      </x:c>
      <x:c r="H11" s="56" t="str">
        <x:v>Tasks using facts or source documents</x:v>
      </x:c>
    </x:row>
    <x:row r="12" ht="42" customHeight="1">
      <x:c r="A12" s="50"/>
      <x:c r="B12" s="50"/>
      <x:c r="C12" s="50"/>
      <x:c r="D12" s="56" t="str">
        <x:v>Creative Quality</x:v>
      </x:c>
      <x:c r="E12" s="56" t="str">
        <x:v>C</x:v>
      </x:c>
      <x:c r="F12" s="56" t="str">
        <x:v>Originality, usefulness, coherence, fluency, audience fit</x:v>
      </x:c>
      <x:c r="G12" s="56" t="str">
        <x:v>Human or calibrated rubric judge</x:v>
      </x:c>
      <x:c r="H12" s="56" t="str">
        <x:v>Writing/content tasks requiring creativity</x:v>
      </x:c>
    </x:row>
    <x:row r="13" ht="42" customHeight="1">
      <x:c r="A13" s="50"/>
      <x:c r="B13" s="50"/>
      <x:c r="C13" s="50"/>
      <x:c r="D13" s="56" t="str">
        <x:v>Experience</x:v>
      </x:c>
      <x:c r="E13" s="56" t="str">
        <x:v>E</x:v>
      </x:c>
      <x:c r="F13" s="56" t="str">
        <x:v>TTFT and total completion time</x:v>
      </x:c>
      <x:c r="G13" s="56" t="str">
        <x:v>Measured wall-clock telemetry</x:v>
      </x:c>
      <x:c r="H13" s="56" t="str">
        <x:v>Every scenario</x:v>
      </x:c>
    </x:row>
    <x:row r="14" ht="42" customHeight="1">
      <x:c r="A14" s="50"/>
      <x:c r="B14" s="50"/>
      <x:c r="C14" s="50"/>
      <x:c r="D14" s="50"/>
      <x:c r="E14" s="50"/>
      <x:c r="F14" s="50"/>
      <x:c r="G14" s="50"/>
      <x:c r="H14" s="50"/>
    </x:row>
    <x:row r="15" ht="42" customHeight="1">
      <x:c r="A15" s="50"/>
      <x:c r="B15" s="50"/>
      <x:c r="C15" s="50"/>
      <x:c r="D15" s="50"/>
      <x:c r="E15" s="50"/>
      <x:c r="F15" s="50"/>
      <x:c r="G15" s="50"/>
      <x:c r="H15" s="50"/>
    </x:row>
    <x:row r="16" ht="42" customHeight="1">
      <x:c r="A16" s="59" t="str">
        <x:v>Evaluation rule</x:v>
      </x:c>
      <x:c r="B16" s="59" t="str">
        <x:v>Definition</x:v>
      </x:c>
      <x:c r="C16" s="59" t="str"/>
      <x:c r="D16" s="59" t="str"/>
      <x:c r="E16" s="59" t="str"/>
      <x:c r="F16" s="59" t="str"/>
      <x:c r="G16" s="59" t="str"/>
      <x:c r="H16" s="59" t="str"/>
    </x:row>
    <x:row r="17" ht="42" customHeight="1">
      <x:c r="A17" s="60" t="str">
        <x:v>Quality score</x:v>
      </x:c>
      <x:c r="B17" s="61" t="str">
        <x:v>Primary applicable dimension = 40%; remaining applicable dimensions share 60%. If only one applies, it receives 100%.</x:v>
      </x:c>
      <x:c r="C17" s="61" t="str"/>
      <x:c r="D17" s="61" t="str"/>
      <x:c r="E17" s="61" t="str"/>
      <x:c r="F17" s="61" t="str"/>
      <x:c r="G17" s="61" t="str"/>
      <x:c r="H17" s="61" t="str"/>
    </x:row>
    <x:row r="18" ht="42" customHeight="1">
      <x:c r="A18" s="60" t="str">
        <x:v>Quality pass</x:v>
      </x:c>
      <x:c r="B18" s="61" t="str">
        <x:v>Weighted quality score ≥75/100 and every hard acceptance gate passes.</x:v>
      </x:c>
      <x:c r="C18" s="61" t="str"/>
      <x:c r="D18" s="61" t="str"/>
      <x:c r="E18" s="61" t="str"/>
      <x:c r="F18" s="61" t="str"/>
      <x:c r="G18" s="61" t="str"/>
      <x:c r="H18" s="61" t="str"/>
    </x:row>
    <x:row r="19" ht="42" customHeight="1">
      <x:c r="A19" s="60" t="str">
        <x:v>Experience pass</x:v>
      </x:c>
      <x:c r="B19" s="61" t="str">
        <x:v>TTFT and complete answer finish within the row-specific limits.</x:v>
      </x:c>
      <x:c r="C19" s="61" t="str"/>
      <x:c r="D19" s="61" t="str"/>
      <x:c r="E19" s="61" t="str"/>
      <x:c r="F19" s="61" t="str"/>
      <x:c r="G19" s="61" t="str"/>
      <x:c r="H19" s="61" t="str"/>
    </x:row>
    <x:row r="20" ht="42" customHeight="1">
      <x:c r="A20" s="60" t="str">
        <x:v>Overall pass</x:v>
      </x:c>
      <x:c r="B20" s="61" t="str">
        <x:v>Quality pass AND Experience pass. Record quality even when timing fails.</x:v>
      </x:c>
      <x:c r="C20" s="61" t="str"/>
      <x:c r="D20" s="61" t="str"/>
      <x:c r="E20" s="61" t="str"/>
      <x:c r="F20" s="61" t="str"/>
      <x:c r="G20" s="61" t="str"/>
      <x:c r="H20" s="61" t="str"/>
    </x:row>
    <x:row r="21" ht="42" customHeight="1">
      <x:c r="A21" s="60" t="str">
        <x:v>Late-answer policy</x:v>
      </x:c>
      <x:c r="B21" s="61" t="str">
        <x:v>Retain the existing application behavior: mark timing failure and apply the configured late penalty separately.</x:v>
      </x:c>
      <x:c r="C21" s="61" t="str"/>
      <x:c r="D21" s="61" t="str"/>
      <x:c r="E21" s="61" t="str"/>
      <x:c r="F21" s="61" t="str"/>
      <x:c r="G21" s="61" t="str"/>
      <x:c r="H21" s="61" t="str"/>
    </x:row>
  </x:sheetData>
  <x:mergeCells>
    <x:mergeCell ref="A1:H2"/>
    <x:mergeCell ref="A3:H3"/>
    <x:mergeCell ref="B17:H17"/>
    <x:mergeCell ref="B18:H18"/>
    <x:mergeCell ref="B19:H19"/>
    <x:mergeCell ref="B20:H20"/>
    <x:mergeCell ref="B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28" hidden="0" customWidth="1"/>
    <x:col min="4" max="4" width="11" hidden="0" customWidth="1"/>
    <x:col min="5" max="5" width="30" hidden="0" customWidth="1"/>
    <x:col min="6" max="6" width="14" hidden="0" customWidth="1"/>
    <x:col min="7" max="7" width="18" hidden="0" customWidth="1"/>
    <x:col min="8" max="8" width="35" hidden="0" customWidth="1"/>
    <x:col min="9" max="9" width="75" hidden="0" customWidth="1"/>
    <x:col min="10" max="10" width="25" hidden="0" customWidth="1"/>
    <x:col min="11" max="11" width="38" hidden="0" customWidth="1"/>
    <x:col min="12" max="12" width="30" hidden="0" customWidth="1"/>
    <x:col min="13" max="13" width="38" hidden="0" customWidth="1"/>
    <x:col min="14" max="14" width="38" hidden="0" customWidth="1"/>
    <x:col min="15" max="15" width="35" hidden="0" customWidth="1"/>
    <x:col min="16" max="16" width="38" hidden="0" customWidth="1"/>
    <x:col min="17" max="17" width="38" hidden="0" customWidth="1"/>
    <x:col min="18" max="18" width="45" hidden="0" customWidth="1"/>
    <x:col min="19" max="19" width="32" hidden="0" customWidth="1"/>
    <x:col min="20" max="20" width="18" hidden="0" customWidth="1"/>
    <x:col min="21" max="21" width="35" hidden="0" customWidth="1"/>
  </x:cols>
  <x:sheetData>
    <x:row r="1" ht="48" customHeight="1">
      <x:c r="A1" s="4" t="str">
        <x:v>ID</x:v>
      </x:c>
      <x:c r="B1" s="4" t="str">
        <x:v>Business</x:v>
      </x:c>
      <x:c r="C1" s="4" t="str">
        <x:v>Persona</x:v>
      </x:c>
      <x:c r="D1" s="4" t="str">
        <x:v>Workload</x:v>
      </x:c>
      <x:c r="E1" s="4" t="str">
        <x:v>Scenario</x:v>
      </x:c>
      <x:c r="F1" s="4" t="str">
        <x:v>TTFT Target (sec)</x:v>
      </x:c>
      <x:c r="G1" s="4" t="str">
        <x:v>Completion Limit (sec)</x:v>
      </x:c>
      <x:c r="H1" s="4" t="str">
        <x:v>Required Input / Fixture</x:v>
      </x:c>
      <x:c r="I1" s="4" t="str">
        <x:v>Actual Test Prompt</x:v>
      </x:c>
      <x:c r="J1" s="4" t="str">
        <x:v>Primary Quality</x:v>
      </x:c>
      <x:c r="K1" s="4" t="str">
        <x:v>Reasoning (R)</x:v>
      </x:c>
      <x:c r="L1" s="4" t="str">
        <x:v>Math (M)</x:v>
      </x:c>
      <x:c r="M1" s="4" t="str">
        <x:v>Coding &amp; Problem Solving (P)</x:v>
      </x:c>
      <x:c r="N1" s="4" t="str">
        <x:v>Instruction Following (I)</x:v>
      </x:c>
      <x:c r="O1" s="4" t="str">
        <x:v>Structured Output (S)</x:v>
      </x:c>
      <x:c r="P1" s="4" t="str">
        <x:v>Factual Accuracy (F)</x:v>
      </x:c>
      <x:c r="Q1" s="4" t="str">
        <x:v>Creative Quality (C)</x:v>
      </x:c>
      <x:c r="R1" s="4" t="str">
        <x:v>Hard Acceptance Gates</x:v>
      </x:c>
      <x:c r="S1" s="4" t="str">
        <x:v>Recommended Grader</x:v>
      </x:c>
      <x:c r="T1" s="4" t="str">
        <x:v>Applicable Quality Count</x:v>
      </x:c>
      <x:c r="U1" s="4" t="str">
        <x:v>Research Basis</x:v>
      </x:c>
    </x:row>
    <x:row r="2" ht="150" customHeight="1">
      <x:c r="A2" s="11" t="str">
        <x:v>C-EO-L</x:v>
      </x:c>
      <x:c r="B2" s="11" t="str">
        <x:v>Consumer</x:v>
      </x:c>
      <x:c r="C2" s="11" t="str">
        <x:v>Everyday Organizer</x:v>
      </x:c>
      <x:c r="D2" s="11" t="str">
        <x:v>Light</x:v>
      </x:c>
      <x:c r="E2" s="12" t="str">
        <x:v>Convert notes into a task list</x:v>
      </x:c>
      <x:c r="F2" s="13" t="n">
        <x:v>2</x:v>
      </x:c>
      <x:c r="G2" s="13" t="n">
        <x:v>10</x:v>
      </x:c>
      <x:c r="H2" s="12" t="str">
        <x:v>Inline in prompt</x:v>
      </x:c>
      <x:c r="I2" s="12" t="str">
        <x:v>Turn these notes into exactly four numbered actions, ordered by urgency: call dentist tomorrow; buy milk tonight; submit school form by Friday; pick up Maya at 4:00 PM. Preserve every date and time. Do not add advice. End with DONE.</x:v>
      </x:c>
      <x:c r="J2" s="12" t="str">
        <x:v>Instruction Following</x:v>
      </x:c>
      <x:c r="K2" s="12" t="str">
        <x:v>Orders time-specific actions before Friday-only action without losing meaning.</x:v>
      </x:c>
      <x:c r="L2" s="12" t="str">
        <x:v>N/A</x:v>
      </x:c>
      <x:c r="M2" s="12" t="str">
        <x:v>N/A</x:v>
      </x:c>
      <x:c r="N2" s="12" t="str">
        <x:v>Exactly 4 numbered items; ends DONE; no advice.</x:v>
      </x:c>
      <x:c r="O2" s="12" t="str">
        <x:v>N/A</x:v>
      </x:c>
      <x:c r="P2" s="12" t="str">
        <x:v>All four source facts, dates, and times preserved.</x:v>
      </x:c>
      <x:c r="Q2" s="12" t="str">
        <x:v>N/A</x:v>
      </x:c>
      <x:c r="R2" s="12" t="str">
        <x:v>Four actions present; no invented task; exact ending.</x:v>
      </x:c>
      <x:c r="S2" s="12" t="str">
        <x:v>Rules + source-fact matching</x:v>
      </x:c>
      <x:c r="T2" s="14" t="n">
        <x:f>COUNTIF(K2:Q2,"&lt;&gt;N/A")</x:f>
        <x:v>3</x:v>
      </x:c>
      <x:c r="U2" s="15" t="str">
        <x:v>HELM; Timing; BBH; IFEval; SimpleQA/FActScore</x:v>
      </x:c>
    </x:row>
    <x:row r="3" ht="150" customHeight="1">
      <x:c r="A3" s="16" t="str">
        <x:v>C-EO-B</x:v>
      </x:c>
      <x:c r="B3" s="16" t="str">
        <x:v>Consumer</x:v>
      </x:c>
      <x:c r="C3" s="16" t="str">
        <x:v>Everyday Organizer</x:v>
      </x:c>
      <x:c r="D3" s="16" t="str">
        <x:v>Balanced</x:v>
      </x:c>
      <x:c r="E3" s="17" t="str">
        <x:v>Build a conflict-free three-day schedule</x:v>
      </x:c>
      <x:c r="F3" s="18" t="n">
        <x:v>4</x:v>
      </x:c>
      <x:c r="G3" s="18" t="n">
        <x:v>40</x:v>
      </x:c>
      <x:c r="H3" s="17" t="str">
        <x:v>Inline in prompt</x:v>
      </x:c>
      <x:c r="I3" s="17" t="str">
        <x:v>Create a Monday-Wednesday schedule. Fixed events: Mon dentist 9:00-10:00; Tue pickup 3:30-4:00; Wed meeting 1:00-2:00. Flexible tasks: groceries 60 min before Wed 6 PM; exercise twice for 30 min; report 2 hours before Wed noon. Available 8 AM-6 PM. Add one 15-minute buffer after each fixed event. Output a Markdown table with Day, Time, Activity, then list any unscheduled task.</x:v>
      </x:c>
      <x:c r="J3" s="17" t="str">
        <x:v>Reasoning</x:v>
      </x:c>
      <x:c r="K3" s="17" t="str">
        <x:v>No overlaps; durations, deadlines, and two exercise sessions are satisfied.</x:v>
      </x:c>
      <x:c r="L3" s="17" t="str">
        <x:v>Time arithmetic and 15-minute buffers are correct.</x:v>
      </x:c>
      <x:c r="M3" s="17" t="str">
        <x:v>N/A</x:v>
      </x:c>
      <x:c r="N3" s="17" t="str">
        <x:v>Required table columns plus unscheduled list.</x:v>
      </x:c>
      <x:c r="O3" s="17" t="str">
        <x:v>N/A</x:v>
      </x:c>
      <x:c r="P3" s="17" t="str">
        <x:v>Uses only supplied events and constraints.</x:v>
      </x:c>
      <x:c r="Q3" s="17" t="str">
        <x:v>N/A</x:v>
      </x:c>
      <x:c r="R3" s="17" t="str">
        <x:v>No conflicts; report ends before deadline; all feasible tasks scheduled.</x:v>
      </x:c>
      <x:c r="S3" s="17" t="str">
        <x:v>Deterministic schedule validator + rules</x:v>
      </x:c>
      <x:c r="T3" s="19" t="n">
        <x:f>COUNTIF(K3:Q3,"&lt;&gt;N/A")</x:f>
        <x:v>4</x:v>
      </x:c>
      <x:c r="U3" s="20" t="str">
        <x:v>HELM; Timing; BBH; GSM8K; IFEval; SimpleQA/FActScore</x:v>
      </x:c>
    </x:row>
    <x:row r="4" ht="150" customHeight="1">
      <x:c r="A4" s="16" t="str">
        <x:v>C-EO-H</x:v>
      </x:c>
      <x:c r="B4" s="16" t="str">
        <x:v>Consumer</x:v>
      </x:c>
      <x:c r="C4" s="16" t="str">
        <x:v>Everyday Organizer</x:v>
      </x:c>
      <x:c r="D4" s="16" t="str">
        <x:v>Heavy</x:v>
      </x:c>
      <x:c r="E4" s="17" t="str">
        <x:v>Create an integrated weekly household plan</x:v>
      </x:c>
      <x:c r="F4" s="18" t="n">
        <x:v>8</x:v>
      </x:c>
      <x:c r="G4" s="18" t="n">
        <x:v>120</x:v>
      </x:c>
      <x:c r="H4" s="17" t="str">
        <x:v>WEEK_PLAN: fixed 7-day calendar, travel times, 14 priced groceries, dietary rules</x:v>
      </x:c>
      <x:c r="I4" s="17" t="str">
        <x:v>Using the supplied WEEK_PLAN fixture, create a seven-day plan for two adults and one teenager. Respect every fixed appointment, 20-minute travel buffer, dietary restriction, and $180 grocery cap. Calculate the grocery total, flag conflicts, assign an owner to every task, and return: (1) weekly table, (2) budget calculation, (3) conflict list, and (4) JSON with keys unassigned_tasks, grocery_total, conflicts. Do not invent appointments or prices.</x:v>
      </x:c>
      <x:c r="J4" s="17" t="str">
        <x:v>Reasoning</x:v>
      </x:c>
      <x:c r="K4" s="17" t="str">
        <x:v>Reconciles calendars, travel buffers, ownership, meals, and conflicts.</x:v>
      </x:c>
      <x:c r="L4" s="17" t="str">
        <x:v>Correct item totals and grocery cap comparison.</x:v>
      </x:c>
      <x:c r="M4" s="17" t="str">
        <x:v>N/A</x:v>
      </x:c>
      <x:c r="N4" s="17" t="str">
        <x:v>All four required sections and seven-day coverage.</x:v>
      </x:c>
      <x:c r="O4" s="17" t="str">
        <x:v>Valid JSON with exact keys and correct data types.</x:v>
      </x:c>
      <x:c r="P4" s="17" t="str">
        <x:v>Every claim grounded in fixture; no invented price/event.</x:v>
      </x:c>
      <x:c r="Q4" s="17" t="str">
        <x:v>N/A</x:v>
      </x:c>
      <x:c r="R4" s="17" t="str">
        <x:v>All fixed items preserved; total exact; valid JSON; no unresolved collision hidden.</x:v>
      </x:c>
      <x:c r="S4" s="17" t="str">
        <x:v>Schedule validator + arithmetic + JSON schema + grounding</x:v>
      </x:c>
      <x:c r="T4" s="19" t="n">
        <x:f>COUNTIF(K4:Q4,"&lt;&gt;N/A")</x:f>
        <x:v>5</x:v>
      </x:c>
      <x:c r="U4" s="20" t="str">
        <x:v>HELM; Timing; BBH; GSM8K; IFEval; JSONSchemaBench; SimpleQA/FActScore</x:v>
      </x:c>
    </x:row>
    <x:row r="5" ht="150" customHeight="1">
      <x:c r="A5" s="16" t="str">
        <x:v>C-SL-L</x:v>
      </x:c>
      <x:c r="B5" s="16" t="str">
        <x:v>Consumer</x:v>
      </x:c>
      <x:c r="C5" s="16" t="str">
        <x:v>Student &amp; Learner</x:v>
      </x:c>
      <x:c r="D5" s="16" t="str">
        <x:v>Light</x:v>
      </x:c>
      <x:c r="E5" s="17" t="str">
        <x:v>Explain a concept simply</x:v>
      </x:c>
      <x:c r="F5" s="18" t="n">
        <x:v>2</x:v>
      </x:c>
      <x:c r="G5" s="18" t="n">
        <x:v>10</x:v>
      </x:c>
      <x:c r="H5" s="17" t="str">
        <x:v>Inline in prompt</x:v>
      </x:c>
      <x:c r="I5" s="17" t="str">
        <x:v>Explain photosynthesis to a 12-year-old in exactly three bullet points. Each bullet must contain 15 words or fewer. Include sunlight, carbon dioxide, water, glucose, and oxygen. Do not use an analogy.</x:v>
      </x:c>
      <x:c r="J5" s="17" t="str">
        <x:v>Factual Accuracy</x:v>
      </x:c>
      <x:c r="K5" s="17" t="str">
        <x:v>N/A</x:v>
      </x:c>
      <x:c r="L5" s="17" t="str">
        <x:v>N/A</x:v>
      </x:c>
      <x:c r="M5" s="17" t="str">
        <x:v>N/A</x:v>
      </x:c>
      <x:c r="N5" s="17" t="str">
        <x:v>Exactly 3 bullets; each ≤15 words; no analogy.</x:v>
      </x:c>
      <x:c r="O5" s="17" t="str">
        <x:v>N/A</x:v>
      </x:c>
      <x:c r="P5" s="17" t="str">
        <x:v>Correct relationship among all five required concepts.</x:v>
      </x:c>
      <x:c r="Q5" s="17" t="str">
        <x:v>N/A</x:v>
      </x:c>
      <x:c r="R5" s="17" t="str">
        <x:v>All five concepts present; scientifically correct; format exact.</x:v>
      </x:c>
      <x:c r="S5" s="17" t="str">
        <x:v>Keyword + word-count rules + factual rubric</x:v>
      </x:c>
      <x:c r="T5" s="19" t="n">
        <x:f>COUNTIF(K5:Q5,"&lt;&gt;N/A")</x:f>
        <x:v>2</x:v>
      </x:c>
      <x:c r="U5" s="20" t="str">
        <x:v>HELM; Timing; IFEval; SimpleQA/FActScore</x:v>
      </x:c>
    </x:row>
    <x:row r="6" ht="150" customHeight="1">
      <x:c r="A6" s="16" t="str">
        <x:v>C-SL-B</x:v>
      </x:c>
      <x:c r="B6" s="16" t="str">
        <x:v>Consumer</x:v>
      </x:c>
      <x:c r="C6" s="16" t="str">
        <x:v>Student &amp; Learner</x:v>
      </x:c>
      <x:c r="D6" s="16" t="str">
        <x:v>Balanced</x:v>
      </x:c>
      <x:c r="E6" s="17" t="str">
        <x:v>Summarize and create a quiz</x:v>
      </x:c>
      <x:c r="F6" s="18" t="n">
        <x:v>4</x:v>
      </x:c>
      <x:c r="G6" s="18" t="n">
        <x:v>45</x:v>
      </x:c>
      <x:c r="H6" s="17" t="str">
        <x:v>Inline in prompt</x:v>
      </x:c>
      <x:c r="I6" s="17" t="str">
        <x:v>Read the water-cycle passage below. Write a 90-110 word summary, then five multiple-choice questions labeled Q1-Q5 with four options each. Provide an answer key on one final line. At least one question must test inference, not recall. PASSAGE: Solar energy drives evaporation from oceans and lakes. Plants add vapor through transpiration. Cooling air causes condensation into clouds. Water returns as precipitation; some runs off to rivers, while some infiltrates soil and replenishes groundwater.</x:v>
      </x:c>
      <x:c r="J6" s="17" t="str">
        <x:v>Instruction Following</x:v>
      </x:c>
      <x:c r="K6" s="17" t="str">
        <x:v>One question requires a valid inference from the passage.</x:v>
      </x:c>
      <x:c r="L6" s="17" t="str">
        <x:v>N/A</x:v>
      </x:c>
      <x:c r="M6" s="17" t="str">
        <x:v>N/A</x:v>
      </x:c>
      <x:c r="N6" s="17" t="str">
        <x:v>Summary 90-110 words; 5 questions; 4 options; final answer key.</x:v>
      </x:c>
      <x:c r="O6" s="17" t="str">
        <x:v>N/A</x:v>
      </x:c>
      <x:c r="P6" s="17" t="str">
        <x:v>Summary and correct options match passage only.</x:v>
      </x:c>
      <x:c r="Q6" s="17" t="str">
        <x:v>N/A</x:v>
      </x:c>
      <x:c r="R6" s="17" t="str">
        <x:v>Five answerable questions; correct key; no unsupported water-cycle claim.</x:v>
      </x:c>
      <x:c r="S6" s="17" t="str">
        <x:v>Word/structure checks + keyed-answer validation</x:v>
      </x:c>
      <x:c r="T6" s="19" t="n">
        <x:f>COUNTIF(K6:Q6,"&lt;&gt;N/A")</x:f>
        <x:v>3</x:v>
      </x:c>
      <x:c r="U6" s="20" t="str">
        <x:v>HELM; Timing; BBH; IFEval; SimpleQA/FActScore</x:v>
      </x:c>
    </x:row>
    <x:row r="7" ht="150" customHeight="1">
      <x:c r="A7" s="16" t="str">
        <x:v>C-SL-H</x:v>
      </x:c>
      <x:c r="B7" s="16" t="str">
        <x:v>Consumer</x:v>
      </x:c>
      <x:c r="C7" s="16" t="str">
        <x:v>Student &amp; Learner</x:v>
      </x:c>
      <x:c r="D7" s="16" t="str">
        <x:v>Heavy</x:v>
      </x:c>
      <x:c r="E7" s="17" t="str">
        <x:v>Build a complete study package</x:v>
      </x:c>
      <x:c r="F7" s="18" t="n">
        <x:v>8</x:v>
      </x:c>
      <x:c r="G7" s="18" t="n">
        <x:v>180</x:v>
      </x:c>
      <x:c r="H7" s="17" t="str">
        <x:v>CELL_ENERGY_10P: fixed 10-page chapter with page anchors and learning objectives</x:v>
      </x:c>
      <x:c r="I7" s="17" t="str">
        <x:v>Using the attached CELL_ENERGY_10P fixture, produce: A) a structured study guide covering every learning objective; B) 12 flashcards; C) 8 multiple-choice questions with four options and answer key; D) 2 calculation problems using ATP yields from the source; E) a misconception section. Cite source page numbers after factual claims. Do not introduce facts absent from the fixture.</x:v>
      </x:c>
      <x:c r="J7" s="17" t="str">
        <x:v>Factual Accuracy</x:v>
      </x:c>
      <x:c r="K7" s="17" t="str">
        <x:v>Questions test causal and comparative understanding, not only recall.</x:v>
      </x:c>
      <x:c r="L7" s="17" t="str">
        <x:v>ATP calculations and answer key are exact.</x:v>
      </x:c>
      <x:c r="M7" s="17" t="str">
        <x:v>N/A</x:v>
      </x:c>
      <x:c r="N7" s="17" t="str">
        <x:v>All five sections and required counts are present.</x:v>
      </x:c>
      <x:c r="O7" s="17" t="str">
        <x:v>Consistent labels make flashcards/questions machine-extractable.</x:v>
      </x:c>
      <x:c r="P7" s="17" t="str">
        <x:v>Claims and page citations agree with fixture; full objective coverage.</x:v>
      </x:c>
      <x:c r="Q7" s="17" t="str">
        <x:v>N/A</x:v>
      </x:c>
      <x:c r="R7" s="17" t="str">
        <x:v>Every objective covered; exact counts; calculations correct; zero unsupported claim.</x:v>
      </x:c>
      <x:c r="S7" s="17" t="str">
        <x:v>Coverage map + arithmetic + citation grounding + rules</x:v>
      </x:c>
      <x:c r="T7" s="19" t="n">
        <x:f>COUNTIF(K7:Q7,"&lt;&gt;N/A")</x:f>
        <x:v>5</x:v>
      </x:c>
      <x:c r="U7" s="20" t="str">
        <x:v>HELM; Timing; BBH; GSM8K; IFEval; JSONSchemaBench; SimpleQA/FActScore</x:v>
      </x:c>
    </x:row>
    <x:row r="8" ht="150" customHeight="1">
      <x:c r="A8" s="16" t="str">
        <x:v>C-FC-L</x:v>
      </x:c>
      <x:c r="B8" s="16" t="str">
        <x:v>Consumer</x:v>
      </x:c>
      <x:c r="C8" s="16" t="str">
        <x:v>Family Coordinator</x:v>
      </x:c>
      <x:c r="D8" s="16" t="str">
        <x:v>Light</x:v>
      </x:c>
      <x:c r="E8" s="17" t="str">
        <x:v>Suggest a suitable family meal</x:v>
      </x:c>
      <x:c r="F8" s="18" t="n">
        <x:v>2</x:v>
      </x:c>
      <x:c r="G8" s="18" t="n">
        <x:v>10</x:v>
      </x:c>
      <x:c r="H8" s="17" t="str">
        <x:v>Inline in prompt</x:v>
      </x:c>
      <x:c r="I8" s="17" t="str">
        <x:v>Suggest one 30-minute dinner for two adults and two children using chicken, rice, carrots, and peas. One child cannot eat dairy. Give exactly five preparation steps and explicitly state why it is dairy-free.</x:v>
      </x:c>
      <x:c r="J8" s="17" t="str">
        <x:v>Instruction Following</x:v>
      </x:c>
      <x:c r="K8" s="17" t="str">
        <x:v>Steps form a feasible cooking sequence within 30 minutes.</x:v>
      </x:c>
      <x:c r="L8" s="17" t="str">
        <x:v>N/A</x:v>
      </x:c>
      <x:c r="M8" s="17" t="str">
        <x:v>N/A</x:v>
      </x:c>
      <x:c r="N8" s="17" t="str">
        <x:v>One meal; exactly 5 steps; explicit dairy-free statement.</x:v>
      </x:c>
      <x:c r="O8" s="17" t="str">
        <x:v>N/A</x:v>
      </x:c>
      <x:c r="P8" s="17" t="str">
        <x:v>No dairy ingredient introduced; uses supplied ingredients.</x:v>
      </x:c>
      <x:c r="Q8" s="17" t="str">
        <x:v>N/A</x:v>
      </x:c>
      <x:c r="R8" s="17" t="str">
        <x:v>Feasible, dairy-free, five steps, no unsafe raw-chicken instruction.</x:v>
      </x:c>
      <x:c r="S8" s="17" t="str">
        <x:v>Rules + ingredient/safety review</x:v>
      </x:c>
      <x:c r="T8" s="19" t="n">
        <x:f>COUNTIF(K8:Q8,"&lt;&gt;N/A")</x:f>
        <x:v>3</x:v>
      </x:c>
      <x:c r="U8" s="20" t="str">
        <x:v>HELM; Timing; BBH; IFEval; SimpleQA/FActScore</x:v>
      </x:c>
    </x:row>
    <x:row r="9" ht="150" customHeight="1">
      <x:c r="A9" s="16" t="str">
        <x:v>C-FC-B</x:v>
      </x:c>
      <x:c r="B9" s="16" t="str">
        <x:v>Consumer</x:v>
      </x:c>
      <x:c r="C9" s="16" t="str">
        <x:v>Family Coordinator</x:v>
      </x:c>
      <x:c r="D9" s="16" t="str">
        <x:v>Balanced</x:v>
      </x:c>
      <x:c r="E9" s="17" t="str">
        <x:v>Create a weekly meal and activity schedule</x:v>
      </x:c>
      <x:c r="F9" s="18" t="n">
        <x:v>4</x:v>
      </x:c>
      <x:c r="G9" s="18" t="n">
        <x:v>45</x:v>
      </x:c>
      <x:c r="H9" s="17" t="str">
        <x:v>FAMILY_WEEK: fixed ingredient price list and activity options</x:v>
      </x:c>
      <x:c r="I9" s="17" t="str">
        <x:v>Plan Monday-Friday dinners and one family activity per day. Constraints: dairy-free; total grocery budget $95; use the supplied price list; soccer Tue/Thu 5:30-7 PM; dinners those days must take ≤20 minutes. Output a table and a grocery list with quantities and calculated total. Do not reuse the same main dish.</x:v>
      </x:c>
      <x:c r="J9" s="17" t="str">
        <x:v>Reasoning</x:v>
      </x:c>
      <x:c r="K9" s="17" t="str">
        <x:v>Meals and activities fit soccer constraints and avoid repeats.</x:v>
      </x:c>
      <x:c r="L9" s="17" t="str">
        <x:v>Quantities and total match supplied prices and stay ≤$95.</x:v>
      </x:c>
      <x:c r="M9" s="17" t="str">
        <x:v>N/A</x:v>
      </x:c>
      <x:c r="N9" s="17" t="str">
        <x:v>Five-day table plus grocery list and total.</x:v>
      </x:c>
      <x:c r="O9" s="17" t="str">
        <x:v>N/A</x:v>
      </x:c>
      <x:c r="P9" s="17" t="str">
        <x:v>Only price-list values used; dairy restriction respected.</x:v>
      </x:c>
      <x:c r="Q9" s="17" t="str">
        <x:v>N/A</x:v>
      </x:c>
      <x:c r="R9" s="17" t="str">
        <x:v>All five days valid; exact total; no dairy; no repeated main dish.</x:v>
      </x:c>
      <x:c r="S9" s="17" t="str">
        <x:v>Constraint + arithmetic validator</x:v>
      </x:c>
      <x:c r="T9" s="19" t="n">
        <x:f>COUNTIF(K9:Q9,"&lt;&gt;N/A")</x:f>
        <x:v>4</x:v>
      </x:c>
      <x:c r="U9" s="20" t="str">
        <x:v>HELM; Timing; BBH; GSM8K; IFEval; SimpleQA/FActScore</x:v>
      </x:c>
    </x:row>
    <x:row r="10" ht="150" customHeight="1">
      <x:c r="A10" s="16" t="str">
        <x:v>C-FC-H</x:v>
      </x:c>
      <x:c r="B10" s="16" t="str">
        <x:v>Consumer</x:v>
      </x:c>
      <x:c r="C10" s="16" t="str">
        <x:v>Family Coordinator</x:v>
      </x:c>
      <x:c r="D10" s="16" t="str">
        <x:v>Heavy</x:v>
      </x:c>
      <x:c r="E10" s="17" t="str">
        <x:v>Coordinate a multiweek family plan</x:v>
      </x:c>
      <x:c r="F10" s="18" t="n">
        <x:v>8</x:v>
      </x:c>
      <x:c r="G10" s="18" t="n">
        <x:v>180</x:v>
      </x:c>
      <x:c r="H10" s="17" t="str">
        <x:v>FAMILY_MONTH: 4 calendars, costs, travel durations, fixed/flexible flags</x:v>
      </x:c>
      <x:c r="I10" s="17" t="str">
        <x:v>Using FAMILY_MONTH fixture, create a four-week coordination plan covering school deadlines, medical appointments, transportation, meals, and a $650 discretionary budget. Identify conflicts, propose the smallest schedule changes, assign owners, calculate weekly and monthly totals, and return a human-readable plan plus valid JSON arrays named conflicts, changes, and owner_tasks. Never change a fixed medical appointment.</x:v>
      </x:c>
      <x:c r="J10" s="17" t="str">
        <x:v>Reasoning</x:v>
      </x:c>
      <x:c r="K10" s="17" t="str">
        <x:v>Finds all conflicts and selects minimal feasible changes.</x:v>
      </x:c>
      <x:c r="L10" s="17" t="str">
        <x:v>Weekly totals reconcile to monthly total and budget.</x:v>
      </x:c>
      <x:c r="M10" s="17" t="str">
        <x:v>N/A</x:v>
      </x:c>
      <x:c r="N10" s="17" t="str">
        <x:v>Four weeks, owners, changes, plan, and JSON included.</x:v>
      </x:c>
      <x:c r="O10" s="17" t="str">
        <x:v>Valid JSON arrays with required names and consistent values.</x:v>
      </x:c>
      <x:c r="P10" s="17" t="str">
        <x:v>All dates/costs grounded; medical appointments unchanged.</x:v>
      </x:c>
      <x:c r="Q10" s="17" t="str">
        <x:v>N/A</x:v>
      </x:c>
      <x:c r="R10" s="17" t="str">
        <x:v>All seeded conflicts found; totals exact; fixed appointments untouched; JSON valid.</x:v>
      </x:c>
      <x:c r="S10" s="17" t="str">
        <x:v>Golden conflict set + math + schema + grounding</x:v>
      </x:c>
      <x:c r="T10" s="19" t="n">
        <x:f>COUNTIF(K10:Q10,"&lt;&gt;N/A")</x:f>
        <x:v>5</x:v>
      </x:c>
      <x:c r="U10" s="20" t="str">
        <x:v>HELM; Timing; BBH; GSM8K; IFEval; JSONSchemaBench; SimpleQA/FActScore</x:v>
      </x:c>
    </x:row>
    <x:row r="11" ht="150" customHeight="1">
      <x:c r="A11" s="16" t="str">
        <x:v>C-RS-L</x:v>
      </x:c>
      <x:c r="B11" s="16" t="str">
        <x:v>Consumer</x:v>
      </x:c>
      <x:c r="C11" s="16" t="str">
        <x:v>Researcher &amp; Shopper</x:v>
      </x:c>
      <x:c r="D11" s="16" t="str">
        <x:v>Light</x:v>
      </x:c>
      <x:c r="E11" s="17" t="str">
        <x:v>Compare two products</x:v>
      </x:c>
      <x:c r="F11" s="18" t="n">
        <x:v>2</x:v>
      </x:c>
      <x:c r="G11" s="18" t="n">
        <x:v>12</x:v>
      </x:c>
      <x:c r="H11" s="17" t="str">
        <x:v>Inline in prompt</x:v>
      </x:c>
      <x:c r="I11" s="17" t="str">
        <x:v>Compare Headset A ($89, 28-hour battery, 310 g, Bluetooth) with Headset B ($109, 40-hour battery, 265 g, Bluetooth plus 2.4 GHz). In exactly three bullets, identify the better choice for budget, battery, and competitive gaming. Use only these facts.</x:v>
      </x:c>
      <x:c r="J11" s="17" t="str">
        <x:v>Reasoning</x:v>
      </x:c>
      <x:c r="K11" s="17" t="str">
        <x:v>Correctly maps each priority to the better product.</x:v>
      </x:c>
      <x:c r="L11" s="17" t="str">
        <x:v>Price difference and spec comparisons are consistent.</x:v>
      </x:c>
      <x:c r="M11" s="17" t="str">
        <x:v>N/A</x:v>
      </x:c>
      <x:c r="N11" s="17" t="str">
        <x:v>Exactly three bullets.</x:v>
      </x:c>
      <x:c r="O11" s="17" t="str">
        <x:v>N/A</x:v>
      </x:c>
      <x:c r="P11" s="17" t="str">
        <x:v>No feature invented; supplied facts accurately used.</x:v>
      </x:c>
      <x:c r="Q11" s="17" t="str">
        <x:v>N/A</x:v>
      </x:c>
      <x:c r="R11" s="17" t="str">
        <x:v>A for budget; B for battery and competitive gaming; no invented claim.</x:v>
      </x:c>
      <x:c r="S11" s="17" t="str">
        <x:v>Exact decision + grounding rules</x:v>
      </x:c>
      <x:c r="T11" s="19" t="n">
        <x:f>COUNTIF(K11:Q11,"&lt;&gt;N/A")</x:f>
        <x:v>4</x:v>
      </x:c>
      <x:c r="U11" s="20" t="str">
        <x:v>HELM; Timing; BBH; GSM8K; IFEval; SimpleQA/FActScore</x:v>
      </x:c>
    </x:row>
    <x:row r="12" ht="150" customHeight="1">
      <x:c r="A12" s="16" t="str">
        <x:v>C-RS-B</x:v>
      </x:c>
      <x:c r="B12" s="16" t="str">
        <x:v>Consumer</x:v>
      </x:c>
      <x:c r="C12" s="16" t="str">
        <x:v>Researcher &amp; Shopper</x:v>
      </x:c>
      <x:c r="D12" s="16" t="str">
        <x:v>Balanced</x:v>
      </x:c>
      <x:c r="E12" s="17" t="str">
        <x:v>Rank five products for stated needs</x:v>
      </x:c>
      <x:c r="F12" s="18" t="n">
        <x:v>4</x:v>
      </x:c>
      <x:c r="G12" s="18" t="n">
        <x:v>60</x:v>
      </x:c>
      <x:c r="H12" s="17" t="str">
        <x:v>LAPTOP_5: five fixed product rows with one deterministic winner</x:v>
      </x:c>
      <x:c r="I12" s="17" t="str">
        <x:v>Using the five-laptop specification table supplied, recommend the best option for a student who needs ≥10 hours battery, weight ≤3.2 lb, 16 GB RAM, and price ≤$1,200. Show a requirement-by-requirement comparison table, eliminate failures with reasons, and choose one winner. If multiple qualify, break ties by lower price, then lower weight.</x:v>
      </x:c>
      <x:c r="J12" s="17" t="str">
        <x:v>Reasoning</x:v>
      </x:c>
      <x:c r="K12" s="17" t="str">
        <x:v>Correct filtering and specified tie-break order.</x:v>
      </x:c>
      <x:c r="L12" s="17" t="str">
        <x:v>Numeric threshold comparisons are exact.</x:v>
      </x:c>
      <x:c r="M12" s="17" t="str">
        <x:v>N/A</x:v>
      </x:c>
      <x:c r="N12" s="17" t="str">
        <x:v>Comparison, eliminations, and one winner included.</x:v>
      </x:c>
      <x:c r="O12" s="17" t="str">
        <x:v>N/A</x:v>
      </x:c>
      <x:c r="P12" s="17" t="str">
        <x:v>No specification beyond supplied table.</x:v>
      </x:c>
      <x:c r="Q12" s="17" t="str">
        <x:v>N/A</x:v>
      </x:c>
      <x:c r="R12" s="17" t="str">
        <x:v>Winner matches deterministic filter; every elimination reason correct.</x:v>
      </x:c>
      <x:c r="S12" s="17" t="str">
        <x:v>Rule engine + source-grounding</x:v>
      </x:c>
      <x:c r="T12" s="19" t="n">
        <x:f>COUNTIF(K12:Q12,"&lt;&gt;N/A")</x:f>
        <x:v>4</x:v>
      </x:c>
      <x:c r="U12" s="20" t="str">
        <x:v>HELM; Timing; BBH; GSM8K; IFEval; SimpleQA/FActScore</x:v>
      </x:c>
    </x:row>
    <x:row r="13" ht="150" customHeight="1">
      <x:c r="A13" s="16" t="str">
        <x:v>C-RS-H</x:v>
      </x:c>
      <x:c r="B13" s="16" t="str">
        <x:v>Consumer</x:v>
      </x:c>
      <x:c r="C13" s="16" t="str">
        <x:v>Researcher &amp; Shopper</x:v>
      </x:c>
      <x:c r="D13" s="16" t="str">
        <x:v>Heavy</x:v>
      </x:c>
      <x:c r="E13" s="17" t="str">
        <x:v>Research a major purchase</x:v>
      </x:c>
      <x:c r="F13" s="18" t="n">
        <x:v>8</x:v>
      </x:c>
      <x:c r="G13" s="18" t="n">
        <x:v>240</x:v>
      </x:c>
      <x:c r="H13" s="17" t="str">
        <x:v>VEHICLE_COMPARE: 4 vehicles, efficiency, energy prices, cargo, seats, warranty, safety</x:v>
      </x:c>
      <x:c r="I13" s="17" t="str">
        <x:v>Using VEHICLE_COMPARE fixture, select the best vehicle for a family driving 15,000 miles/year, keeping five years, requiring five seats and ≥25 cu ft cargo. Calculate five-year energy cost using supplied prices and efficiencies, compare warranty and safety facts, identify uncertainty, and produce an evidence table, recommendation, and JSON summary. Do not use outside knowledge.</x:v>
      </x:c>
      <x:c r="J13" s="17" t="str">
        <x:v>Factual Accuracy</x:v>
      </x:c>
      <x:c r="K13" s="17" t="str">
        <x:v>Recommendation follows requirements and stated trade-offs.</x:v>
      </x:c>
      <x:c r="L13" s="17" t="str">
        <x:v>Five-year mileage and energy-cost calculations exact.</x:v>
      </x:c>
      <x:c r="M13" s="17" t="str">
        <x:v>N/A</x:v>
      </x:c>
      <x:c r="N13" s="17" t="str">
        <x:v>Evidence table, recommendation, uncertainty, and JSON.</x:v>
      </x:c>
      <x:c r="O13" s="17" t="str">
        <x:v>Valid summary JSON with vehicle, five_year_energy_cost, reasons, uncertainties.</x:v>
      </x:c>
      <x:c r="P13" s="17" t="str">
        <x:v>Every comparative claim traceable to fixture.</x:v>
      </x:c>
      <x:c r="Q13" s="17" t="str">
        <x:v>N/A</x:v>
      </x:c>
      <x:c r="R13" s="17" t="str">
        <x:v>Eligibility correct; costs exact; evidence grounded; uncertainties explicit.</x:v>
      </x:c>
      <x:c r="S13" s="17" t="str">
        <x:v>Math + evidence mapping + JSON schema</x:v>
      </x:c>
      <x:c r="T13" s="19" t="n">
        <x:f>COUNTIF(K13:Q13,"&lt;&gt;N/A")</x:f>
        <x:v>5</x:v>
      </x:c>
      <x:c r="U13" s="20" t="str">
        <x:v>HELM; Timing; BBH; GSM8K; IFEval; JSONSchemaBench; SimpleQA/FActScore</x:v>
      </x:c>
    </x:row>
    <x:row r="14" ht="150" customHeight="1">
      <x:c r="A14" s="16" t="str">
        <x:v>C-WC-L</x:v>
      </x:c>
      <x:c r="B14" s="16" t="str">
        <x:v>Consumer</x:v>
      </x:c>
      <x:c r="C14" s="16" t="str">
        <x:v>Writer &amp; Communicator</x:v>
      </x:c>
      <x:c r="D14" s="16" t="str">
        <x:v>Light</x:v>
      </x:c>
      <x:c r="E14" s="17" t="str">
        <x:v>Rewrite a message calmly</x:v>
      </x:c>
      <x:c r="F14" s="18" t="n">
        <x:v>2</x:v>
      </x:c>
      <x:c r="G14" s="18" t="n">
        <x:v>7</x:v>
      </x:c>
      <x:c r="H14" s="17" t="str">
        <x:v>Inline in prompt</x:v>
      </x:c>
      <x:c r="I14" s="17" t="str">
        <x:v>Rewrite this as one calm, professional sentence of 18-25 words: ‘The installer failed again and I am out of time. Fix this now.’ Preserve the urgency without blame. Do not use an exclamation mark.</x:v>
      </x:c>
      <x:c r="J14" s="17" t="str">
        <x:v>Instruction Following</x:v>
      </x:c>
      <x:c r="K14" s="17" t="str">
        <x:v>N/A</x:v>
      </x:c>
      <x:c r="L14" s="17" t="str">
        <x:v>N/A</x:v>
      </x:c>
      <x:c r="M14" s="17" t="str">
        <x:v>N/A</x:v>
      </x:c>
      <x:c r="N14" s="17" t="str">
        <x:v>One sentence; 18-25 words; no exclamation mark.</x:v>
      </x:c>
      <x:c r="O14" s="17" t="str">
        <x:v>N/A</x:v>
      </x:c>
      <x:c r="P14" s="17" t="str">
        <x:v>Failure, repeated occurrence, urgency, and time pressure retained.</x:v>
      </x:c>
      <x:c r="Q14" s="17" t="str">
        <x:v>Tone is calm, professional, and natural.</x:v>
      </x:c>
      <x:c r="R14" s="17" t="str">
        <x:v>Meaning preserved; constraint exact; no hostile language.</x:v>
      </x:c>
      <x:c r="S14" s="17" t="str">
        <x:v>Sentence/word/punctuation checks + tone rubric</x:v>
      </x:c>
      <x:c r="T14" s="19" t="n">
        <x:f>COUNTIF(K14:Q14,"&lt;&gt;N/A")</x:f>
        <x:v>3</x:v>
      </x:c>
      <x:c r="U14" s="20" t="str">
        <x:v>HELM; Timing; IFEval; SimpleQA/FActScore; Creative rubric</x:v>
      </x:c>
    </x:row>
    <x:row r="15" ht="150" customHeight="1">
      <x:c r="A15" s="16" t="str">
        <x:v>C-WC-B</x:v>
      </x:c>
      <x:c r="B15" s="16" t="str">
        <x:v>Consumer</x:v>
      </x:c>
      <x:c r="C15" s="16" t="str">
        <x:v>Writer &amp; Communicator</x:v>
      </x:c>
      <x:c r="D15" s="16" t="str">
        <x:v>Balanced</x:v>
      </x:c>
      <x:c r="E15" s="17" t="str">
        <x:v>Draft a polished email</x:v>
      </x:c>
      <x:c r="F15" s="18" t="n">
        <x:v>4</x:v>
      </x:c>
      <x:c r="G15" s="18" t="n">
        <x:v>30</x:v>
      </x:c>
      <x:c r="H15" s="17" t="str">
        <x:v>Inline in prompt</x:v>
      </x:c>
      <x:c r="I15" s="17" t="str">
        <x:v>Draft an email under 120 words to a school counselor requesting a meeting next week about course selection. Available times: Tuesday 3-5 PM or Thursday 9-11 AM. Tone: respectful and collaborative. Include a clear subject line and one direct call to action. Do not claim the counselor is available.</x:v>
      </x:c>
      <x:c r="J15" s="17" t="str">
        <x:v>Instruction Following</x:v>
      </x:c>
      <x:c r="K15" s="17" t="str">
        <x:v>Request and scheduling options are logically clear.</x:v>
      </x:c>
      <x:c r="L15" s="17" t="str">
        <x:v>N/A</x:v>
      </x:c>
      <x:c r="M15" s="17" t="str">
        <x:v>N/A</x:v>
      </x:c>
      <x:c r="N15" s="17" t="str">
        <x:v>&lt;120 words; subject; two windows; one call to action.</x:v>
      </x:c>
      <x:c r="O15" s="17" t="str">
        <x:v>N/A</x:v>
      </x:c>
      <x:c r="P15" s="17" t="str">
        <x:v>No availability or facts invented.</x:v>
      </x:c>
      <x:c r="Q15" s="17" t="str">
        <x:v>Respectful, concise, collaborative voice.</x:v>
      </x:c>
      <x:c r="R15" s="17" t="str">
        <x:v>All facts preserved; actionable; no assumption of availability.</x:v>
      </x:c>
      <x:c r="S15" s="17" t="str">
        <x:v>Rules + fact matching + writing rubric</x:v>
      </x:c>
      <x:c r="T15" s="19" t="n">
        <x:f>COUNTIF(K15:Q15,"&lt;&gt;N/A")</x:f>
        <x:v>4</x:v>
      </x:c>
      <x:c r="U15" s="20" t="str">
        <x:v>HELM; Timing; BBH; IFEval; SimpleQA/FActScore; Creative rubric</x:v>
      </x:c>
    </x:row>
    <x:row r="16" ht="150" customHeight="1">
      <x:c r="A16" s="16" t="str">
        <x:v>C-WC-H</x:v>
      </x:c>
      <x:c r="B16" s="16" t="str">
        <x:v>Consumer</x:v>
      </x:c>
      <x:c r="C16" s="16" t="str">
        <x:v>Writer &amp; Communicator</x:v>
      </x:c>
      <x:c r="D16" s="16" t="str">
        <x:v>Heavy</x:v>
      </x:c>
      <x:c r="E16" s="17" t="str">
        <x:v>Rewrite a long application essay</x:v>
      </x:c>
      <x:c r="F16" s="18" t="n">
        <x:v>8</x:v>
      </x:c>
      <x:c r="G16" s="18" t="n">
        <x:v>120</x:v>
      </x:c>
      <x:c r="H16" s="17" t="str">
        <x:v>APPLICATION_DRAFT: fixed 900-word draft with fact inventory</x:v>
      </x:c>
      <x:c r="I16" s="17" t="str">
        <x:v>Edit the attached APPLICATION_DRAFT into 650-700 words. Preserve every verifiable life event and the writer’s first-person voice. Improve structure, transitions, specificity, and ending; remove repetition; do not invent achievements. After the essay, provide a change log with exactly six bullets linking each major edit to a writing goal.</x:v>
      </x:c>
      <x:c r="J16" s="17" t="str">
        <x:v>Creative Quality</x:v>
      </x:c>
      <x:c r="K16" s="17" t="str">
        <x:v>Narrative structure has coherent progression and causal connections.</x:v>
      </x:c>
      <x:c r="L16" s="17" t="str">
        <x:v>N/A</x:v>
      </x:c>
      <x:c r="M16" s="17" t="str">
        <x:v>N/A</x:v>
      </x:c>
      <x:c r="N16" s="17" t="str">
        <x:v>650-700 words; first person; exactly 6 change-log bullets.</x:v>
      </x:c>
      <x:c r="O16" s="17" t="str">
        <x:v>N/A</x:v>
      </x:c>
      <x:c r="P16" s="17" t="str">
        <x:v>All factual events preserved; no invented achievement.</x:v>
      </x:c>
      <x:c r="Q16" s="17" t="str">
        <x:v>Specific, authentic, fluent, non-repetitive prose with strong ending.</x:v>
      </x:c>
      <x:c r="R16" s="17" t="str">
        <x:v>No factual drift; word/count constraints pass; meaning and voice preserved.</x:v>
      </x:c>
      <x:c r="S16" s="17" t="str">
        <x:v>Diff-based fact check + rules + human/LLM writing rubric</x:v>
      </x:c>
      <x:c r="T16" s="19" t="n">
        <x:f>COUNTIF(K16:Q16,"&lt;&gt;N/A")</x:f>
        <x:v>4</x:v>
      </x:c>
      <x:c r="U16" s="20" t="str">
        <x:v>HELM; Timing; BBH; IFEval; SimpleQA/FActScore; Creative rubric</x:v>
      </x:c>
    </x:row>
    <x:row r="17" ht="150" customHeight="1">
      <x:c r="A17" s="16" t="str">
        <x:v>C-CP-L</x:v>
      </x:c>
      <x:c r="B17" s="16" t="str">
        <x:v>Consumer</x:v>
      </x:c>
      <x:c r="C17" s="16" t="str">
        <x:v>Creative Prosumer</x:v>
      </x:c>
      <x:c r="D17" s="16" t="str">
        <x:v>Light</x:v>
      </x:c>
      <x:c r="E17" s="17" t="str">
        <x:v>Generate social captions</x:v>
      </x:c>
      <x:c r="F17" s="18" t="n">
        <x:v>2</x:v>
      </x:c>
      <x:c r="G17" s="18" t="n">
        <x:v>12</x:v>
      </x:c>
      <x:c r="H17" s="17" t="str">
        <x:v>Inline in prompt</x:v>
      </x:c>
      <x:c r="I17" s="17" t="str">
        <x:v>Write exactly three distinct Instagram captions for a sunrise hiking photo. Each must be 8-14 words, use a different emotional angle, contain no hashtags, and avoid the words breathtaking and journey.</x:v>
      </x:c>
      <x:c r="J17" s="17" t="str">
        <x:v>Creative Quality</x:v>
      </x:c>
      <x:c r="K17" s="17" t="str">
        <x:v>N/A</x:v>
      </x:c>
      <x:c r="L17" s="17" t="str">
        <x:v>N/A</x:v>
      </x:c>
      <x:c r="M17" s="17" t="str">
        <x:v>N/A</x:v>
      </x:c>
      <x:c r="N17" s="17" t="str">
        <x:v>Exactly 3 captions; each 8-14 words; banned words/hashtags absent.</x:v>
      </x:c>
      <x:c r="O17" s="17" t="str">
        <x:v>N/A</x:v>
      </x:c>
      <x:c r="P17" s="17" t="str">
        <x:v>N/A</x:v>
      </x:c>
      <x:c r="Q17" s="17" t="str">
        <x:v>Three meaningfully different angles; vivid, natural, non-repetitive.</x:v>
      </x:c>
      <x:c r="R17" s="17" t="str">
        <x:v>All constraints pass; captions are not paraphrases of one another.</x:v>
      </x:c>
      <x:c r="S17" s="17" t="str">
        <x:v>Rules + diversity/originality rubric</x:v>
      </x:c>
      <x:c r="T17" s="19" t="n">
        <x:f>COUNTIF(K17:Q17,"&lt;&gt;N/A")</x:f>
        <x:v>2</x:v>
      </x:c>
      <x:c r="U17" s="20" t="str">
        <x:v>HELM; Timing; IFEval; Creative rubric</x:v>
      </x:c>
    </x:row>
    <x:row r="18" ht="150" customHeight="1">
      <x:c r="A18" s="16" t="str">
        <x:v>C-CP-B</x:v>
      </x:c>
      <x:c r="B18" s="16" t="str">
        <x:v>Consumer</x:v>
      </x:c>
      <x:c r="C18" s="16" t="str">
        <x:v>Creative Prosumer</x:v>
      </x:c>
      <x:c r="D18" s="16" t="str">
        <x:v>Balanced</x:v>
      </x:c>
      <x:c r="E18" s="17" t="str">
        <x:v>Create a short video concept</x:v>
      </x:c>
      <x:c r="F18" s="18" t="n">
        <x:v>4</x:v>
      </x:c>
      <x:c r="G18" s="18" t="n">
        <x:v>60</x:v>
      </x:c>
      <x:c r="H18" s="17" t="str">
        <x:v>Inline in prompt</x:v>
      </x:c>
      <x:c r="I18" s="17" t="str">
        <x:v>Create a 45-second vertical-video concept introducing a quiet local-AI PC. Provide: hook (≤8 words), six-shot storyboard with timestamps totaling 45 seconds, voice-over of 85-105 words, and closing CTA. Tone is cinematic but credible. Do not claim benchmark results or features not supplied: offline operation, quiet cooling, compact size.</x:v>
      </x:c>
      <x:c r="J18" s="17" t="str">
        <x:v>Creative Quality</x:v>
      </x:c>
      <x:c r="K18" s="17" t="str">
        <x:v>N/A</x:v>
      </x:c>
      <x:c r="L18" s="17" t="str">
        <x:v>Shot timestamps total exactly 45 seconds.</x:v>
      </x:c>
      <x:c r="M18" s="17" t="str">
        <x:v>N/A</x:v>
      </x:c>
      <x:c r="N18" s="17" t="str">
        <x:v>All four sections; hook ≤8 words; voice-over 85-105 words.</x:v>
      </x:c>
      <x:c r="O18" s="17" t="str">
        <x:v>N/A</x:v>
      </x:c>
      <x:c r="P18" s="17" t="str">
        <x:v>Only three supplied product facts claimed.</x:v>
      </x:c>
      <x:c r="Q18" s="17" t="str">
        <x:v>Strong hook, visual coherence, originality, credible cinematic tone.</x:v>
      </x:c>
      <x:c r="R18" s="17" t="str">
        <x:v>Timing/word counts pass; no invented claim; concept coherent.</x:v>
      </x:c>
      <x:c r="S18" s="17" t="str">
        <x:v>Arithmetic + rules + claim check + creative rubric</x:v>
      </x:c>
      <x:c r="T18" s="19" t="n">
        <x:f>COUNTIF(K18:Q18,"&lt;&gt;N/A")</x:f>
        <x:v>4</x:v>
      </x:c>
      <x:c r="U18" s="20" t="str">
        <x:v>HELM; Timing; GSM8K; IFEval; SimpleQA/FActScore; Creative rubric</x:v>
      </x:c>
    </x:row>
    <x:row r="19" ht="150" customHeight="1">
      <x:c r="A19" s="16" t="str">
        <x:v>C-CP-H</x:v>
      </x:c>
      <x:c r="B19" s="16" t="str">
        <x:v>Consumer</x:v>
      </x:c>
      <x:c r="C19" s="16" t="str">
        <x:v>Creative Prosumer</x:v>
      </x:c>
      <x:c r="D19" s="16" t="str">
        <x:v>Heavy</x:v>
      </x:c>
      <x:c r="E19" s="17" t="str">
        <x:v>Produce a complete campaign package</x:v>
      </x:c>
      <x:c r="F19" s="18" t="n">
        <x:v>8</x:v>
      </x:c>
      <x:c r="G19" s="18" t="n">
        <x:v>240</x:v>
      </x:c>
      <x:c r="H19" s="17" t="str">
        <x:v>CREATOR_BRIEF: audience, brand voice, 5 proof points, 4 prohibited claims, platforms</x:v>
      </x:c>
      <x:c r="I19" s="17" t="str">
        <x:v>Using CREATOR_BRIEF, produce a seven-day launch package: campaign idea, audience insight, 60-second hero script, 7-post calendar, captions, visual direction, and measurement plan. Preserve the brand rules and prohibited claims. Include JSON for each post with day, platform, asset, caption, and objective. Ensure the narrative evolves across the week rather than repeating one message.</x:v>
      </x:c>
      <x:c r="J19" s="17" t="str">
        <x:v>Creative Quality</x:v>
      </x:c>
      <x:c r="K19" s="17" t="str">
        <x:v>Seven-day narrative progression and channel choices support objectives.</x:v>
      </x:c>
      <x:c r="L19" s="17" t="str">
        <x:v>N/A</x:v>
      </x:c>
      <x:c r="M19" s="17" t="str">
        <x:v>N/A</x:v>
      </x:c>
      <x:c r="N19" s="17" t="str">
        <x:v>Every requested deliverable and seven posts present.</x:v>
      </x:c>
      <x:c r="O19" s="17" t="str">
        <x:v>Valid seven-item JSON array with exact keys.</x:v>
      </x:c>
      <x:c r="P19" s="17" t="str">
        <x:v>All claims comply with supplied proof points and prohibitions.</x:v>
      </x:c>
      <x:c r="Q19" s="17" t="str">
        <x:v>Original central idea, coherent voice, varied posts, useful production detail.</x:v>
      </x:c>
      <x:c r="R19" s="17" t="str">
        <x:v>Seven valid posts; no prohibited claim; JSON parseable; campaign non-repetitive.</x:v>
      </x:c>
      <x:c r="S19" s="17" t="str">
        <x:v>Schema + claim validator + creative rubric</x:v>
      </x:c>
      <x:c r="T19" s="19" t="n">
        <x:f>COUNTIF(K19:Q19,"&lt;&gt;N/A")</x:f>
        <x:v>5</x:v>
      </x:c>
      <x:c r="U19" s="20" t="str">
        <x:v>HELM; Timing; BBH; IFEval; JSONSchemaBench; SimpleQA/FActScore; Creative rubric</x:v>
      </x:c>
    </x:row>
    <x:row r="20" ht="150" customHeight="1">
      <x:c r="A20" s="16" t="str">
        <x:v>C-PA-L</x:v>
      </x:c>
      <x:c r="B20" s="16" t="str">
        <x:v>Consumer</x:v>
      </x:c>
      <x:c r="C20" s="16" t="str">
        <x:v>Personal Adviser</x:v>
      </x:c>
      <x:c r="D20" s="16" t="str">
        <x:v>Light</x:v>
      </x:c>
      <x:c r="E20" s="17" t="str">
        <x:v>Compare personal options</x:v>
      </x:c>
      <x:c r="F20" s="18" t="n">
        <x:v>2</x:v>
      </x:c>
      <x:c r="G20" s="18" t="n">
        <x:v>12</x:v>
      </x:c>
      <x:c r="H20" s="17" t="str">
        <x:v>Inline in prompt</x:v>
      </x:c>
      <x:c r="I20" s="17" t="str">
        <x:v>I have a free Saturday from 9 AM-4 PM and want exercise, one household task, and relaxation. Give exactly three schedule options. Each option must fit the seven-hour window and include all three goals. Use a neutral tone and do not choose for me.</x:v>
      </x:c>
      <x:c r="J20" s="17" t="str">
        <x:v>Reasoning</x:v>
      </x:c>
      <x:c r="K20" s="17" t="str">
        <x:v>Each option fits time window and contains all three goals.</x:v>
      </x:c>
      <x:c r="L20" s="17" t="str">
        <x:v>Durations do not exceed seven hours.</x:v>
      </x:c>
      <x:c r="M20" s="17" t="str">
        <x:v>N/A</x:v>
      </x:c>
      <x:c r="N20" s="17" t="str">
        <x:v>Exactly 3 options; neutral; no final choice.</x:v>
      </x:c>
      <x:c r="O20" s="17" t="str">
        <x:v>N/A</x:v>
      </x:c>
      <x:c r="P20" s="17" t="str">
        <x:v>N/A</x:v>
      </x:c>
      <x:c r="Q20" s="17" t="str">
        <x:v>N/A</x:v>
      </x:c>
      <x:c r="R20" s="17" t="str">
        <x:v>Three feasible options; no missing goal; no prescriptive choice.</x:v>
      </x:c>
      <x:c r="S20" s="17" t="str">
        <x:v>Time validator + rules</x:v>
      </x:c>
      <x:c r="T20" s="19" t="n">
        <x:f>COUNTIF(K20:Q20,"&lt;&gt;N/A")</x:f>
        <x:v>3</x:v>
      </x:c>
      <x:c r="U20" s="20" t="str">
        <x:v>HELM; Timing; BBH; GSM8K; IFEval</x:v>
      </x:c>
    </x:row>
    <x:row r="21" ht="150" customHeight="1">
      <x:c r="A21" s="16" t="str">
        <x:v>C-PA-B</x:v>
      </x:c>
      <x:c r="B21" s="16" t="str">
        <x:v>Consumer</x:v>
      </x:c>
      <x:c r="C21" s="16" t="str">
        <x:v>Personal Adviser</x:v>
      </x:c>
      <x:c r="D21" s="16" t="str">
        <x:v>Balanced</x:v>
      </x:c>
      <x:c r="E21" s="17" t="str">
        <x:v>Build a constrained savings plan</x:v>
      </x:c>
      <x:c r="F21" s="18" t="n">
        <x:v>4</x:v>
      </x:c>
      <x:c r="G21" s="18" t="n">
        <x:v>60</x:v>
      </x:c>
      <x:c r="H21" s="17" t="str">
        <x:v>Inline in prompt</x:v>
      </x:c>
      <x:c r="I21" s="17" t="str">
        <x:v>Create a six-month savings plan for a $2,400 goal. Net monthly income is $4,100; fixed expenses $2,650; essential variable expenses $850. Keep a $200 monthly buffer. Calculate the required monthly saving, determine feasibility, and if feasible show a month-by-month table. Do not recommend investments or reducing essential expenses.</x:v>
      </x:c>
      <x:c r="J21" s="17" t="str">
        <x:v>Math</x:v>
      </x:c>
      <x:c r="K21" s="17" t="str">
        <x:v>Feasibility conclusion follows available discretionary amount.</x:v>
      </x:c>
      <x:c r="L21" s="17" t="str">
        <x:v>Required $400/month; available after buffer $400; six-month total $2,400.</x:v>
      </x:c>
      <x:c r="M21" s="17" t="str">
        <x:v>N/A</x:v>
      </x:c>
      <x:c r="N21" s="17" t="str">
        <x:v>Table if feasible; no investment advice; essentials untouched.</x:v>
      </x:c>
      <x:c r="O21" s="17" t="str">
        <x:v>N/A</x:v>
      </x:c>
      <x:c r="P21" s="17" t="str">
        <x:v>Uses only supplied financial facts.</x:v>
      </x:c>
      <x:c r="Q21" s="17" t="str">
        <x:v>N/A</x:v>
      </x:c>
      <x:c r="R21" s="17" t="str">
        <x:v>Exact calculation and feasible plan; constraints respected.</x:v>
      </x:c>
      <x:c r="S21" s="17" t="str">
        <x:v>Exact arithmetic + rules</x:v>
      </x:c>
      <x:c r="T21" s="19" t="n">
        <x:f>COUNTIF(K21:Q21,"&lt;&gt;N/A")</x:f>
        <x:v>4</x:v>
      </x:c>
      <x:c r="U21" s="20" t="str">
        <x:v>HELM; Timing; BBH; GSM8K; IFEval; SimpleQA/FActScore</x:v>
      </x:c>
    </x:row>
    <x:row r="22" ht="150" customHeight="1">
      <x:c r="A22" s="16" t="str">
        <x:v>C-PA-H</x:v>
      </x:c>
      <x:c r="B22" s="16" t="str">
        <x:v>Consumer</x:v>
      </x:c>
      <x:c r="C22" s="16" t="str">
        <x:v>Personal Adviser</x:v>
      </x:c>
      <x:c r="D22" s="16" t="str">
        <x:v>Heavy</x:v>
      </x:c>
      <x:c r="E22" s="17" t="str">
        <x:v>Evaluate a complex personal decision</x:v>
      </x:c>
      <x:c r="F22" s="18" t="n">
        <x:v>8</x:v>
      </x:c>
      <x:c r="G22" s="18" t="n">
        <x:v>180</x:v>
      </x:c>
      <x:c r="H22" s="17" t="str">
        <x:v>RELOCATION_CASE: salaries, taxes supplied as net, housing, commute, preferences, weights</x:v>
      </x:c>
      <x:c r="I22" s="17" t="str">
        <x:v>Using RELOCATION_CASE, compare staying versus relocating across compensation, housing, commute, family support, school timing, and stated preferences. Calculate annual after-housing cash difference using supplied figures, identify assumptions and missing information, build a weighted decision table using the user’s weights, and present options—not a command. Return a JSON summary of scores and uncertainties.</x:v>
      </x:c>
      <x:c r="J22" s="17" t="str">
        <x:v>Reasoning</x:v>
      </x:c>
      <x:c r="K22" s="17" t="str">
        <x:v>Trade-offs, weights, and conclusion are internally consistent.</x:v>
      </x:c>
      <x:c r="L22" s="17" t="str">
        <x:v>Annual cash differences and weighted scores exact.</x:v>
      </x:c>
      <x:c r="M22" s="17" t="str">
        <x:v>N/A</x:v>
      </x:c>
      <x:c r="N22" s="17" t="str">
        <x:v>Options not command; assumptions and missing data stated.</x:v>
      </x:c>
      <x:c r="O22" s="17" t="str">
        <x:v>Valid JSON scores and uncertainties.</x:v>
      </x:c>
      <x:c r="P22" s="17" t="str">
        <x:v>No external cost or lifestyle claim invented.</x:v>
      </x:c>
      <x:c r="Q22" s="17" t="str">
        <x:v>N/A</x:v>
      </x:c>
      <x:c r="R22" s="17" t="str">
        <x:v>Calculations reconcile; weights total 100%; uncertainty preserved; no overclaim.</x:v>
      </x:c>
      <x:c r="S22" s="17" t="str">
        <x:v>Math + weighted-decision validator + schema</x:v>
      </x:c>
      <x:c r="T22" s="19" t="n">
        <x:f>COUNTIF(K22:Q22,"&lt;&gt;N/A")</x:f>
        <x:v>5</x:v>
      </x:c>
      <x:c r="U22" s="20" t="str">
        <x:v>HELM; Timing; BBH; GSM8K; IFEval; JSONSchemaBench; SimpleQA/FActScore</x:v>
      </x:c>
    </x:row>
    <x:row r="23" ht="150" customHeight="1">
      <x:c r="A23" s="16" t="str">
        <x:v>C-TH-L</x:v>
      </x:c>
      <x:c r="B23" s="16" t="str">
        <x:v>Consumer</x:v>
      </x:c>
      <x:c r="C23" s="16" t="str">
        <x:v>Technical Hobbyist</x:v>
      </x:c>
      <x:c r="D23" s="16" t="str">
        <x:v>Light</x:v>
      </x:c>
      <x:c r="E23" s="17" t="str">
        <x:v>Explain an error and one command</x:v>
      </x:c>
      <x:c r="F23" s="18" t="n">
        <x:v>2</x:v>
      </x:c>
      <x:c r="G23" s="18" t="n">
        <x:v>10</x:v>
      </x:c>
      <x:c r="H23" s="17" t="str">
        <x:v>Inline in prompt</x:v>
      </x:c>
      <x:c r="I23" s="17" t="str">
        <x:v>Windows PowerShell reports: ‘Failed when searching source: msstore’ while installing Node.js LTS with winget. Give one sentence explaining the cause shown, then one copyable command that installs OpenJS.NodeJS.LTS from the winget source. No additional commands.</x:v>
      </x:c>
      <x:c r="J23" s="17" t="str">
        <x:v>Problem Solving</x:v>
      </x:c>
      <x:c r="K23" s="17" t="str">
        <x:v>N/A</x:v>
      </x:c>
      <x:c r="L23" s="17" t="str">
        <x:v>N/A</x:v>
      </x:c>
      <x:c r="M23" s="17" t="str">
        <x:v>Command correctly specifies --source winget and package ID.</x:v>
      </x:c>
      <x:c r="N23" s="17" t="str">
        <x:v>One explanation sentence plus exactly one command.</x:v>
      </x:c>
      <x:c r="O23" s="17" t="str">
        <x:v>N/A</x:v>
      </x:c>
      <x:c r="P23" s="17" t="str">
        <x:v>Explanation matches shown source-selection error.</x:v>
      </x:c>
      <x:c r="Q23" s="17" t="str">
        <x:v>N/A</x:v>
      </x:c>
      <x:c r="R23" s="17" t="str">
        <x:v>Expected command installs OpenJS.NodeJS.LTS using winget source.</x:v>
      </x:c>
      <x:c r="S23" s="17" t="str">
        <x:v>Exact command tokens + rules</x:v>
      </x:c>
      <x:c r="T23" s="19" t="n">
        <x:f>COUNTIF(K23:Q23,"&lt;&gt;N/A")</x:f>
        <x:v>3</x:v>
      </x:c>
      <x:c r="U23" s="20" t="str">
        <x:v>HELM; Timing; HumanEval; IFEval; SimpleQA/FActScore</x:v>
      </x:c>
    </x:row>
    <x:row r="24" ht="150" customHeight="1">
      <x:c r="A24" s="16" t="str">
        <x:v>C-TH-B</x:v>
      </x:c>
      <x:c r="B24" s="16" t="str">
        <x:v>Consumer</x:v>
      </x:c>
      <x:c r="C24" s="16" t="str">
        <x:v>Technical Hobbyist</x:v>
      </x:c>
      <x:c r="D24" s="16" t="str">
        <x:v>Balanced</x:v>
      </x:c>
      <x:c r="E24" s="17" t="str">
        <x:v>Diagnose a PC symptom</x:v>
      </x:c>
      <x:c r="F24" s="18" t="n">
        <x:v>4</x:v>
      </x:c>
      <x:c r="G24" s="18" t="n">
        <x:v>60</x:v>
      </x:c>
      <x:c r="H24" s="17" t="str">
        <x:v>Inline in prompt</x:v>
      </x:c>
      <x:c r="I24" s="17" t="str">
        <x:v>A Windows 11 PC has 32 GB RAM. After sleep, audio crackles only through a USB headset; unplugging and reconnecting fixes it. Speakers are normal. Provide the three most likely causes ranked, a safe step-by-step diagnostic plan, and a stop condition before any driver removal. Do not recommend BIOS flashing or registry edits.</x:v>
      </x:c>
      <x:c r="J24" s="17" t="str">
        <x:v>Problem Solving</x:v>
      </x:c>
      <x:c r="K24" s="17" t="str">
        <x:v>Ranking follows symptom isolation and reversible-test logic.</x:v>
      </x:c>
      <x:c r="L24" s="17" t="str">
        <x:v>N/A</x:v>
      </x:c>
      <x:c r="M24" s="17" t="str">
        <x:v>Plan isolates headset, USB power, and driver/service causes safely.</x:v>
      </x:c>
      <x:c r="N24" s="17" t="str">
        <x:v>Exactly 3 ranked causes; stop condition; banned actions absent.</x:v>
      </x:c>
      <x:c r="O24" s="17" t="str">
        <x:v>N/A</x:v>
      </x:c>
      <x:c r="P24" s="17" t="str">
        <x:v>Does not assert an unverified root cause as fact.</x:v>
      </x:c>
      <x:c r="Q24" s="17" t="str">
        <x:v>N/A</x:v>
      </x:c>
      <x:c r="R24" s="17" t="str">
        <x:v>Safe reversible sequence; no destructive step; uncertainty explicit.</x:v>
      </x:c>
      <x:c r="S24" s="17" t="str">
        <x:v>Expert troubleshooting rubric + rules</x:v>
      </x:c>
      <x:c r="T24" s="19" t="n">
        <x:f>COUNTIF(K24:Q24,"&lt;&gt;N/A")</x:f>
        <x:v>4</x:v>
      </x:c>
      <x:c r="U24" s="20" t="str">
        <x:v>HELM; Timing; BBH; HumanEval; IFEval; SimpleQA/FActScore</x:v>
      </x:c>
    </x:row>
    <x:row r="25" ht="150" customHeight="1">
      <x:c r="A25" s="16" t="str">
        <x:v>C-TH-H</x:v>
      </x:c>
      <x:c r="B25" s="16" t="str">
        <x:v>Consumer</x:v>
      </x:c>
      <x:c r="C25" s="16" t="str">
        <x:v>Technical Hobbyist</x:v>
      </x:c>
      <x:c r="D25" s="16" t="str">
        <x:v>Heavy</x:v>
      </x:c>
      <x:c r="E25" s="17" t="str">
        <x:v>Analyze logs and produce a repair plan</x:v>
      </x:c>
      <x:c r="F25" s="18" t="n">
        <x:v>8</x:v>
      </x:c>
      <x:c r="G25" s="18" t="n">
        <x:v>240</x:v>
      </x:c>
      <x:c r="H25" s="17" t="str">
        <x:v>PC_DIAGNOSTIC: 4 timestamped logs with one causal pattern and distractors</x:v>
      </x:c>
      <x:c r="I25" s="17" t="str">
        <x:v>Using PC_DIAGNOSTIC fixture, identify the most likely root cause of intermittent application crashes. Correlate timestamps across Event Viewer, temperature log, memory test, and driver history. Separate evidence from inference, rank hypotheses, propose reversible tests, and provide rollback steps. Return a JSON object with root_cause, confidence, evidence_ids, tests, and rollback. Do not claim certainty above the evidence.</x:v>
      </x:c>
      <x:c r="J25" s="17" t="str">
        <x:v>Problem Solving</x:v>
      </x:c>
      <x:c r="K25" s="17" t="str">
        <x:v>Correct temporal correlation and hypothesis ranking.</x:v>
      </x:c>
      <x:c r="L25" s="17" t="str">
        <x:v>N/A</x:v>
      </x:c>
      <x:c r="M25" s="17" t="str">
        <x:v>Tests distinguish hypotheses and remain reversible.</x:v>
      </x:c>
      <x:c r="N25" s="17" t="str">
        <x:v>Evidence/inference separated; rollback included.</x:v>
      </x:c>
      <x:c r="O25" s="17" t="str">
        <x:v>Valid JSON with exact keys and fixture evidence IDs.</x:v>
      </x:c>
      <x:c r="P25" s="17" t="str">
        <x:v>Every factual statement grounded; confidence calibrated.</x:v>
      </x:c>
      <x:c r="Q25" s="17" t="str">
        <x:v>N/A</x:v>
      </x:c>
      <x:c r="R25" s="17" t="str">
        <x:v>Seeded root cause ranked first; evidence IDs correct; no unsafe change.</x:v>
      </x:c>
      <x:c r="S25" s="17" t="str">
        <x:v>Golden diagnosis + evidence mapping + schema</x:v>
      </x:c>
      <x:c r="T25" s="19" t="n">
        <x:f>COUNTIF(K25:Q25,"&lt;&gt;N/A")</x:f>
        <x:v>5</x:v>
      </x:c>
      <x:c r="U25" s="20" t="str">
        <x:v>HELM; Timing; BBH; HumanEval; IFEval; JSONSchemaBench; SimpleQA/FActScore</x:v>
      </x:c>
    </x:row>
    <x:row r="26" ht="150" customHeight="1">
      <x:c r="A26" s="16" t="str">
        <x:v>G-CG-L</x:v>
      </x:c>
      <x:c r="B26" s="16" t="str">
        <x:v>Gaming</x:v>
      </x:c>
      <x:c r="C26" s="16" t="str">
        <x:v>Casual Gamer</x:v>
      </x:c>
      <x:c r="D26" s="16" t="str">
        <x:v>Light</x:v>
      </x:c>
      <x:c r="E26" s="17" t="str">
        <x:v>Answer a quick settings question</x:v>
      </x:c>
      <x:c r="F26" s="18" t="n">
        <x:v>2</x:v>
      </x:c>
      <x:c r="G26" s="18" t="n">
        <x:v>7</x:v>
      </x:c>
      <x:c r="H26" s="17" t="str">
        <x:v>Inline in prompt</x:v>
      </x:c>
      <x:c r="I26" s="17" t="str">
        <x:v>In a game, subtitles are too small and dialogue is hard to follow. Give exactly two settings to check, one per line, with no hardware recommendation.</x:v>
      </x:c>
      <x:c r="J26" s="17" t="str">
        <x:v>Instruction Following</x:v>
      </x:c>
      <x:c r="K26" s="17" t="str">
        <x:v>N/A</x:v>
      </x:c>
      <x:c r="L26" s="17" t="str">
        <x:v>N/A</x:v>
      </x:c>
      <x:c r="M26" s="17" t="str">
        <x:v>Suggests subtitle/text size and dialogue/audio accessibility settings.</x:v>
      </x:c>
      <x:c r="N26" s="17" t="str">
        <x:v>Exactly 2 lines; no hardware recommendation.</x:v>
      </x:c>
      <x:c r="O26" s="17" t="str">
        <x:v>N/A</x:v>
      </x:c>
      <x:c r="P26" s="17" t="str">
        <x:v>N/A</x:v>
      </x:c>
      <x:c r="Q26" s="17" t="str">
        <x:v>N/A</x:v>
      </x:c>
      <x:c r="R26" s="17" t="str">
        <x:v>Two relevant settings only.</x:v>
      </x:c>
      <x:c r="S26" s="17" t="str">
        <x:v>Keyword + line-count rules</x:v>
      </x:c>
      <x:c r="T26" s="19" t="n">
        <x:f>COUNTIF(K26:Q26,"&lt;&gt;N/A")</x:f>
        <x:v>2</x:v>
      </x:c>
      <x:c r="U26" s="20" t="str">
        <x:v>HELM; Timing; HumanEval; IFEval</x:v>
      </x:c>
    </x:row>
    <x:row r="27" ht="150" customHeight="1">
      <x:c r="A27" s="16" t="str">
        <x:v>G-CG-B</x:v>
      </x:c>
      <x:c r="B27" s="16" t="str">
        <x:v>Gaming</x:v>
      </x:c>
      <x:c r="C27" s="16" t="str">
        <x:v>Casual Gamer</x:v>
      </x:c>
      <x:c r="D27" s="16" t="str">
        <x:v>Balanced</x:v>
      </x:c>
      <x:c r="E27" s="17" t="str">
        <x:v>Provide a spoiler-safe walkthrough</x:v>
      </x:c>
      <x:c r="F27" s="18" t="n">
        <x:v>4</x:v>
      </x:c>
      <x:c r="G27" s="18" t="n">
        <x:v>30</x:v>
      </x:c>
      <x:c r="H27" s="17" t="str">
        <x:v>Inline in prompt</x:v>
      </x:c>
      <x:c r="I27" s="17" t="str">
        <x:v>A player is stuck in a fictional puzzle room. Clues: three bells labeled Dawn, Noon, Dusk; inscription says ‘the day begins, reaches its height, then fades’; pulling the wrong order resets. Give a spoiler-light hint first, then the exact solution under a heading SOLUTION. Use no more than 90 words.</x:v>
      </x:c>
      <x:c r="J27" s="17" t="str">
        <x:v>Reasoning</x:v>
      </x:c>
      <x:c r="K27" s="17" t="str">
        <x:v>Infers Dawn → Noon → Dusk from inscription.</x:v>
      </x:c>
      <x:c r="L27" s="17" t="str">
        <x:v>N/A</x:v>
      </x:c>
      <x:c r="M27" s="17" t="str">
        <x:v>N/A</x:v>
      </x:c>
      <x:c r="N27" s="17" t="str">
        <x:v>Hint first; SOLUTION heading; ≤90 words.</x:v>
      </x:c>
      <x:c r="O27" s="17" t="str">
        <x:v>N/A</x:v>
      </x:c>
      <x:c r="P27" s="17" t="str">
        <x:v>Uses only supplied fictional clues.</x:v>
      </x:c>
      <x:c r="Q27" s="17" t="str">
        <x:v>N/A</x:v>
      </x:c>
      <x:c r="R27" s="17" t="str">
        <x:v>Correct order; hint does not immediately reveal all three before solution.</x:v>
      </x:c>
      <x:c r="S27" s="17" t="str">
        <x:v>Exact solution + structure/length rules</x:v>
      </x:c>
      <x:c r="T27" s="19" t="n">
        <x:f>COUNTIF(K27:Q27,"&lt;&gt;N/A")</x:f>
        <x:v>3</x:v>
      </x:c>
      <x:c r="U27" s="20" t="str">
        <x:v>HELM; Timing; BBH; IFEval; SimpleQA/FActScore</x:v>
      </x:c>
    </x:row>
    <x:row r="28" ht="150" customHeight="1">
      <x:c r="A28" s="16" t="str">
        <x:v>G-CG-H</x:v>
      </x:c>
      <x:c r="B28" s="16" t="str">
        <x:v>Gaming</x:v>
      </x:c>
      <x:c r="C28" s="16" t="str">
        <x:v>Casual Gamer</x:v>
      </x:c>
      <x:c r="D28" s="16" t="str">
        <x:v>Heavy</x:v>
      </x:c>
      <x:c r="E28" s="17" t="str">
        <x:v>Recommend games and troubleshoot setup</x:v>
      </x:c>
      <x:c r="F28" s="18" t="n">
        <x:v>8</x:v>
      </x:c>
      <x:c r="G28" s="18" t="n">
        <x:v>90</x:v>
      </x:c>
      <x:c r="H28" s="17" t="str">
        <x:v>CASUAL_GAMER_PROFILE + 12-row GAME_CATALOG + pairing symptom</x:v>
      </x:c>
      <x:c r="I28" s="17" t="str">
        <x:v>Using CASUAL_GAMER_PROFILE and GAME_CATALOG, recommend three games that satisfy platform, budget, session length, content rating, and co-op preference. Show why each qualifies, calculate total cost if all three are purchased, then diagnose the supplied controller pairing symptom with five safe steps. Do not recommend titles outside the catalog.</x:v>
      </x:c>
      <x:c r="J28" s="17" t="str">
        <x:v>Reasoning</x:v>
      </x:c>
      <x:c r="K28" s="17" t="str">
        <x:v>Filtering and ranking satisfy all profile constraints.</x:v>
      </x:c>
      <x:c r="L28" s="17" t="str">
        <x:v>Three-game total exact.</x:v>
      </x:c>
      <x:c r="M28" s="17" t="str">
        <x:v>Pairing steps are safe and logically ordered.</x:v>
      </x:c>
      <x:c r="N28" s="17" t="str">
        <x:v>Exactly 3 games and 5 troubleshooting steps.</x:v>
      </x:c>
      <x:c r="O28" s="17" t="str">
        <x:v>N/A</x:v>
      </x:c>
      <x:c r="P28" s="17" t="str">
        <x:v>All game facts and device details grounded.</x:v>
      </x:c>
      <x:c r="Q28" s="17" t="str">
        <x:v>N/A</x:v>
      </x:c>
      <x:c r="R28" s="17" t="str">
        <x:v>All recommendations qualify; exact cost; no outside title; safe fix sequence.</x:v>
      </x:c>
      <x:c r="S28" s="17" t="str">
        <x:v>Catalog filter + math + troubleshooting rubric</x:v>
      </x:c>
      <x:c r="T28" s="19" t="n">
        <x:f>COUNTIF(K28:Q28,"&lt;&gt;N/A")</x:f>
        <x:v>5</x:v>
      </x:c>
      <x:c r="U28" s="20" t="str">
        <x:v>HELM; Timing; BBH; GSM8K; HumanEval; IFEval; SimpleQA/FActScore</x:v>
      </x:c>
    </x:row>
    <x:row r="29" ht="150" customHeight="1">
      <x:c r="A29" s="16" t="str">
        <x:v>G-PP-L</x:v>
      </x:c>
      <x:c r="B29" s="16" t="str">
        <x:v>Gaming</x:v>
      </x:c>
      <x:c r="C29" s="16" t="str">
        <x:v>Power Player</x:v>
      </x:c>
      <x:c r="D29" s="16" t="str">
        <x:v>Light</x:v>
      </x:c>
      <x:c r="E29" s="17" t="str">
        <x:v>Recommend one performance setting</x:v>
      </x:c>
      <x:c r="F29" s="18" t="n">
        <x:v>2</x:v>
      </x:c>
      <x:c r="G29" s="18" t="n">
        <x:v>10</x:v>
      </x:c>
      <x:c r="H29" s="17" t="str">
        <x:v>Inline in prompt</x:v>
      </x:c>
      <x:c r="I29" s="17" t="str">
        <x:v>At 1440p, GPU utilization is 99%, CPU utilization 48%, and frame rate is below target. Name the single graphics setting category most likely to help first and explain in one sentence. Do not recommend a CPU upgrade.</x:v>
      </x:c>
      <x:c r="J29" s="17" t="str">
        <x:v>Reasoning</x:v>
      </x:c>
      <x:c r="K29" s="17" t="str">
        <x:v>Recognizes GPU-bound condition and recommends GPU-heavy setting reduction.</x:v>
      </x:c>
      <x:c r="L29" s="17" t="str">
        <x:v>N/A</x:v>
      </x:c>
      <x:c r="M29" s="17" t="str">
        <x:v>N/A</x:v>
      </x:c>
      <x:c r="N29" s="17" t="str">
        <x:v>Single category plus one sentence; no CPU upgrade.</x:v>
      </x:c>
      <x:c r="O29" s="17" t="str">
        <x:v>N/A</x:v>
      </x:c>
      <x:c r="P29" s="17" t="str">
        <x:v>Interpretation matches supplied utilization data.</x:v>
      </x:c>
      <x:c r="Q29" s="17" t="str">
        <x:v>N/A</x:v>
      </x:c>
      <x:c r="R29" s="17" t="str">
        <x:v>GPU-bound diagnosis; relevant setting such as ray tracing/resolution scaling.</x:v>
      </x:c>
      <x:c r="S29" s="17" t="str">
        <x:v>Deterministic diagnosis + rules</x:v>
      </x:c>
      <x:c r="T29" s="19" t="n">
        <x:f>COUNTIF(K29:Q29,"&lt;&gt;N/A")</x:f>
        <x:v>3</x:v>
      </x:c>
      <x:c r="U29" s="20" t="str">
        <x:v>HELM; Timing; BBH; IFEval; SimpleQA/FActScore</x:v>
      </x:c>
    </x:row>
    <x:row r="30" ht="150" customHeight="1">
      <x:c r="A30" s="16" t="str">
        <x:v>G-PP-B</x:v>
      </x:c>
      <x:c r="B30" s="16" t="str">
        <x:v>Gaming</x:v>
      </x:c>
      <x:c r="C30" s="16" t="str">
        <x:v>Power Player</x:v>
      </x:c>
      <x:c r="D30" s="16" t="str">
        <x:v>Balanced</x:v>
      </x:c>
      <x:c r="E30" s="17" t="str">
        <x:v>Optimize settings from hardware metrics</x:v>
      </x:c>
      <x:c r="F30" s="18" t="n">
        <x:v>4</x:v>
      </x:c>
      <x:c r="G30" s="18" t="n">
        <x:v>60</x:v>
      </x:c>
      <x:c r="H30" s="17" t="str">
        <x:v>Inline in prompt</x:v>
      </x:c>
      <x:c r="I30" s="17" t="str">
        <x:v>Target: stable 120 FPS at 1440p. Benchmark: Ultra 82 FPS, High 108 FPS, Medium 138 FPS. Frame-generation adds 35% FPS but 12 ms latency. Competitive mode requires total latency under 35 ms; current latency without FG is 27 ms. Recommend a preset and whether to enable frame-generation. Show calculations and prioritize stable competitive play.</x:v>
      </x:c>
      <x:c r="J30" s="17" t="str">
        <x:v>Math</x:v>
      </x:c>
      <x:c r="K30" s="17" t="str">
        <x:v>Selects Medium and rejects FG because latency would be 39 ms.</x:v>
      </x:c>
      <x:c r="L30" s="17" t="str">
        <x:v>FPS and latency arithmetic correct.</x:v>
      </x:c>
      <x:c r="M30" s="17" t="str">
        <x:v>N/A</x:v>
      </x:c>
      <x:c r="N30" s="17" t="str">
        <x:v>Shows calculations and clear recommendation.</x:v>
      </x:c>
      <x:c r="O30" s="17" t="str">
        <x:v>N/A</x:v>
      </x:c>
      <x:c r="P30" s="17" t="str">
        <x:v>No unsupported hardware claim.</x:v>
      </x:c>
      <x:c r="Q30" s="17" t="str">
        <x:v>N/A</x:v>
      </x:c>
      <x:c r="R30" s="17" t="str">
        <x:v>Medium preset; FG off; exact 27+12=39 ms reasoning.</x:v>
      </x:c>
      <x:c r="S30" s="17" t="str">
        <x:v>Exact arithmetic + decision rule</x:v>
      </x:c>
      <x:c r="T30" s="19" t="n">
        <x:f>COUNTIF(K30:Q30,"&lt;&gt;N/A")</x:f>
        <x:v>4</x:v>
      </x:c>
      <x:c r="U30" s="20" t="str">
        <x:v>HELM; Timing; BBH; GSM8K; IFEval; SimpleQA/FActScore</x:v>
      </x:c>
    </x:row>
    <x:row r="31" ht="150" customHeight="1">
      <x:c r="A31" s="16" t="str">
        <x:v>G-PP-H</x:v>
      </x:c>
      <x:c r="B31" s="16" t="str">
        <x:v>Gaming</x:v>
      </x:c>
      <x:c r="C31" s="16" t="str">
        <x:v>Power Player</x:v>
      </x:c>
      <x:c r="D31" s="16" t="str">
        <x:v>Heavy</x:v>
      </x:c>
      <x:c r="E31" s="17" t="str">
        <x:v>Produce a complete optimization plan</x:v>
      </x:c>
      <x:c r="F31" s="18" t="n">
        <x:v>8</x:v>
      </x:c>
      <x:c r="G31" s="18" t="n">
        <x:v>180</x:v>
      </x:c>
      <x:c r="H31" s="17" t="str">
        <x:v>GAME_BENCH_LOGS: 5 runs with seeded background-process/VRAM pattern</x:v>
      </x:c>
      <x:c r="I31" s="17" t="str">
        <x:v>Using GAME_BENCH_LOGS, diagnose stutter and missed 1% low target across five test runs. Correlate FPS, 1% lows, frametime spikes, GPU/CPU utilization, temperature, power, VRAM, and background processes. Rank root causes, select the best configuration under image-quality and latency constraints, calculate percentage improvement, and return a test plan plus JSON summary. Do not infer thermal throttling unless thresholds are crossed.</x:v>
      </x:c>
      <x:c r="J31" s="17" t="str">
        <x:v>Reasoning</x:v>
      </x:c>
      <x:c r="K31" s="17" t="str">
        <x:v>Correct multi-metric bottleneck diagnosis and configuration choice.</x:v>
      </x:c>
      <x:c r="L31" s="17" t="str">
        <x:v>Percentage improvements and thresholds exact.</x:v>
      </x:c>
      <x:c r="M31" s="17" t="str">
        <x:v>A/B validation plan isolates causes.</x:v>
      </x:c>
      <x:c r="N31" s="17" t="str">
        <x:v>Ranked causes, configuration, test plan, JSON.</x:v>
      </x:c>
      <x:c r="O31" s="17" t="str">
        <x:v>Valid JSON with chosen_run, gains, causes, next_tests.</x:v>
      </x:c>
      <x:c r="P31" s="17" t="str">
        <x:v>Claims match logs; no false thermal diagnosis.</x:v>
      </x:c>
      <x:c r="Q31" s="17" t="str">
        <x:v>N/A</x:v>
      </x:c>
      <x:c r="R31" s="17" t="str">
        <x:v>Correct run selected; all calculations reconcile; evidence-linked diagnosis.</x:v>
      </x:c>
      <x:c r="S31" s="17" t="str">
        <x:v>Golden log analysis + math + schema</x:v>
      </x:c>
      <x:c r="T31" s="19" t="n">
        <x:f>COUNTIF(K31:Q31,"&lt;&gt;N/A")</x:f>
        <x:v>6</x:v>
      </x:c>
      <x:c r="U31" s="20" t="str">
        <x:v>HELM; Timing; BBH; GSM8K; HumanEval; IFEval; JSONSchemaBench; SimpleQA/FActScore</x:v>
      </x:c>
    </x:row>
    <x:row r="32" ht="150" customHeight="1">
      <x:c r="A32" s="16" t="str">
        <x:v>G-PC-L</x:v>
      </x:c>
      <x:c r="B32" s="16" t="str">
        <x:v>Gaming</x:v>
      </x:c>
      <x:c r="C32" s="16" t="str">
        <x:v>Progressive Creator</x:v>
      </x:c>
      <x:c r="D32" s="16" t="str">
        <x:v>Light</x:v>
      </x:c>
      <x:c r="E32" s="17" t="str">
        <x:v>Create titles and hooks</x:v>
      </x:c>
      <x:c r="F32" s="18" t="n">
        <x:v>2</x:v>
      </x:c>
      <x:c r="G32" s="18" t="n">
        <x:v>10</x:v>
      </x:c>
      <x:c r="H32" s="17" t="str">
        <x:v>Inline in prompt</x:v>
      </x:c>
      <x:c r="I32" s="17" t="str">
        <x:v>Create three YouTube Shorts titles for a 20-second clutch-win clip. Each title must be ≤45 characters, use no emoji, and take a different angle: suspense, skill, humor.</x:v>
      </x:c>
      <x:c r="J32" s="17" t="str">
        <x:v>Creative Quality</x:v>
      </x:c>
      <x:c r="K32" s="17" t="str">
        <x:v>N/A</x:v>
      </x:c>
      <x:c r="L32" s="17" t="str">
        <x:v>N/A</x:v>
      </x:c>
      <x:c r="M32" s="17" t="str">
        <x:v>N/A</x:v>
      </x:c>
      <x:c r="N32" s="17" t="str">
        <x:v>Exactly 3 titles; ≤45 characters; no emoji; assigned angles.</x:v>
      </x:c>
      <x:c r="O32" s="17" t="str">
        <x:v>N/A</x:v>
      </x:c>
      <x:c r="P32" s="17" t="str">
        <x:v>N/A</x:v>
      </x:c>
      <x:c r="Q32" s="17" t="str">
        <x:v>Distinct, compelling, natural titles suited to the clip.</x:v>
      </x:c>
      <x:c r="R32" s="17" t="str">
        <x:v>All constraints pass; angles clearly different.</x:v>
      </x:c>
      <x:c r="S32" s="17" t="str">
        <x:v>Character/rule checks + creative rubric</x:v>
      </x:c>
      <x:c r="T32" s="19" t="n">
        <x:f>COUNTIF(K32:Q32,"&lt;&gt;N/A")</x:f>
        <x:v>2</x:v>
      </x:c>
      <x:c r="U32" s="20" t="str">
        <x:v>HELM; Timing; IFEval; Creative rubric</x:v>
      </x:c>
    </x:row>
    <x:row r="33" ht="150" customHeight="1">
      <x:c r="A33" s="16" t="str">
        <x:v>G-PC-B</x:v>
      </x:c>
      <x:c r="B33" s="16" t="str">
        <x:v>Gaming</x:v>
      </x:c>
      <x:c r="C33" s="16" t="str">
        <x:v>Progressive Creator</x:v>
      </x:c>
      <x:c r="D33" s="16" t="str">
        <x:v>Balanced</x:v>
      </x:c>
      <x:c r="E33" s="17" t="str">
        <x:v>Create a gameplay-video script</x:v>
      </x:c>
      <x:c r="F33" s="18" t="n">
        <x:v>4</x:v>
      </x:c>
      <x:c r="G33" s="18" t="n">
        <x:v>60</x:v>
      </x:c>
      <x:c r="H33" s="17" t="str">
        <x:v>Inline in prompt</x:v>
      </x:c>
      <x:c r="I33" s="17" t="str">
        <x:v>Turn these beats into a 60-second vertical-video plan: slow start, teammate disconnects, 1-v-3 comeback, final reaction. Provide six timestamped shots totaling 60 seconds, a 110-130 word voice-over, on-screen text for three moments, and one CTA. Keep the player confident but not insulting.</x:v>
      </x:c>
      <x:c r="J33" s="17" t="str">
        <x:v>Creative Quality</x:v>
      </x:c>
      <x:c r="K33" s="17" t="str">
        <x:v>N/A</x:v>
      </x:c>
      <x:c r="L33" s="17" t="str">
        <x:v>Shot durations total 60 seconds.</x:v>
      </x:c>
      <x:c r="M33" s="17" t="str">
        <x:v>N/A</x:v>
      </x:c>
      <x:c r="N33" s="17" t="str">
        <x:v>6 shots; voice-over 110-130 words; 3 text moments; 1 CTA.</x:v>
      </x:c>
      <x:c r="O33" s="17" t="str">
        <x:v>N/A</x:v>
      </x:c>
      <x:c r="P33" s="17" t="str">
        <x:v>All four supplied beats retained.</x:v>
      </x:c>
      <x:c r="Q33" s="17" t="str">
        <x:v>Pacing builds tension; voice is engaging and non-toxic.</x:v>
      </x:c>
      <x:c r="R33" s="17" t="str">
        <x:v>Timing/counts exact; complete story arc; no insult.</x:v>
      </x:c>
      <x:c r="S33" s="17" t="str">
        <x:v>Arithmetic + rules + creative/tone rubric</x:v>
      </x:c>
      <x:c r="T33" s="19" t="n">
        <x:f>COUNTIF(K33:Q33,"&lt;&gt;N/A")</x:f>
        <x:v>4</x:v>
      </x:c>
      <x:c r="U33" s="20" t="str">
        <x:v>HELM; Timing; GSM8K; IFEval; SimpleQA/FActScore; Creative rubric</x:v>
      </x:c>
    </x:row>
    <x:row r="34" ht="150" customHeight="1">
      <x:c r="A34" s="16" t="str">
        <x:v>G-PC-H</x:v>
      </x:c>
      <x:c r="B34" s="16" t="str">
        <x:v>Gaming</x:v>
      </x:c>
      <x:c r="C34" s="16" t="str">
        <x:v>Progressive Creator</x:v>
      </x:c>
      <x:c r="D34" s="16" t="str">
        <x:v>Heavy</x:v>
      </x:c>
      <x:c r="E34" s="17" t="str">
        <x:v>Create a publishing package from transcript</x:v>
      </x:c>
      <x:c r="F34" s="18" t="n">
        <x:v>8</x:v>
      </x:c>
      <x:c r="G34" s="18" t="n">
        <x:v>180</x:v>
      </x:c>
      <x:c r="H34" s="17" t="str">
        <x:v>GAMEPLAY_TRANSCRIPT: 25-minute transcript with timestamps; CHANNEL_BRIEF</x:v>
      </x:c>
      <x:c r="I34" s="17" t="str">
        <x:v>Using GAMEPLAY_TRANSCRIPT and CHANNEL_BRIEF, produce a long-video package: 3 title options, thumbnail text, 150-word description, chapter timestamps, 5 short-form clip candidates with hooks, and a seven-day posting calendar. Every factual gameplay claim must match the transcript. Return clip candidates as JSON with start, end, hook, and reason. Avoid repeated hooks and prohibited brand language.</x:v>
      </x:c>
      <x:c r="J34" s="17" t="str">
        <x:v>Creative Quality</x:v>
      </x:c>
      <x:c r="K34" s="17" t="str">
        <x:v>Clip selection and calendar create coherent audience progression.</x:v>
      </x:c>
      <x:c r="L34" s="17" t="str">
        <x:v>Timestamps valid and start &lt; end.</x:v>
      </x:c>
      <x:c r="M34" s="17" t="str">
        <x:v>N/A</x:v>
      </x:c>
      <x:c r="N34" s="17" t="str">
        <x:v>All deliverables and exact counts present.</x:v>
      </x:c>
      <x:c r="O34" s="17" t="str">
        <x:v>Valid five-item clip JSON with exact keys.</x:v>
      </x:c>
      <x:c r="P34" s="17" t="str">
        <x:v>Gameplay claims/timestamps grounded in transcript.</x:v>
      </x:c>
      <x:c r="Q34" s="17" t="str">
        <x:v>Distinct hooks, strong packaging, consistent channel voice.</x:v>
      </x:c>
      <x:c r="R34" s="17" t="str">
        <x:v>No transcript drift; valid timestamps/JSON; five non-duplicate clips.</x:v>
      </x:c>
      <x:c r="S34" s="17" t="str">
        <x:v>Transcript alignment + schema + creative rubric</x:v>
      </x:c>
      <x:c r="T34" s="19" t="n">
        <x:f>COUNTIF(K34:Q34,"&lt;&gt;N/A")</x:f>
        <x:v>6</x:v>
      </x:c>
      <x:c r="U34" s="20" t="str">
        <x:v>HELM; Timing; BBH; GSM8K; IFEval; JSONSchemaBench; SimpleQA/FActScore; Creative rubric</x:v>
      </x:c>
    </x:row>
    <x:row r="35" ht="150" customHeight="1">
      <x:c r="A35" s="16" t="str">
        <x:v>G-RD-L</x:v>
      </x:c>
      <x:c r="B35" s="16" t="str">
        <x:v>Gaming</x:v>
      </x:c>
      <x:c r="C35" s="16" t="str">
        <x:v>Rising Game Developer</x:v>
      </x:c>
      <x:c r="D35" s="16" t="str">
        <x:v>Light</x:v>
      </x:c>
      <x:c r="E35" s="17" t="str">
        <x:v>Explain a code concept</x:v>
      </x:c>
      <x:c r="F35" s="18" t="n">
        <x:v>2</x:v>
      </x:c>
      <x:c r="G35" s="18" t="n">
        <x:v>12</x:v>
      </x:c>
      <x:c r="H35" s="17" t="str">
        <x:v>Inline in prompt</x:v>
      </x:c>
      <x:c r="I35" s="17" t="str">
        <x:v>In Godot GDScript, explain why `position.x += speed` moves farther on faster computers and provide the corrected one-line expression using `delta`. Answer in exactly two sentences, followed by one code line.</x:v>
      </x:c>
      <x:c r="J35" s="17" t="str">
        <x:v>Coding &amp; Problem Solving</x:v>
      </x:c>
      <x:c r="K35" s="17" t="str">
        <x:v>N/A</x:v>
      </x:c>
      <x:c r="L35" s="17" t="str">
        <x:v>N/A</x:v>
      </x:c>
      <x:c r="M35" s="17" t="str">
        <x:v>Explains frame dependence and uses speed * delta correctly.</x:v>
      </x:c>
      <x:c r="N35" s="17" t="str">
        <x:v>Exactly 2 sentences then 1 code line.</x:v>
      </x:c>
      <x:c r="O35" s="17" t="str">
        <x:v>N/A</x:v>
      </x:c>
      <x:c r="P35" s="17" t="str">
        <x:v>Technical explanation is accurate.</x:v>
      </x:c>
      <x:c r="Q35" s="17" t="str">
        <x:v>N/A</x:v>
      </x:c>
      <x:c r="R35" s="17" t="str">
        <x:v>Correct delta expression; required format exact.</x:v>
      </x:c>
      <x:c r="S35" s="17" t="str">
        <x:v>Code-token + sentence-count + factual check</x:v>
      </x:c>
      <x:c r="T35" s="19" t="n">
        <x:f>COUNTIF(K35:Q35,"&lt;&gt;N/A")</x:f>
        <x:v>3</x:v>
      </x:c>
      <x:c r="U35" s="20" t="str">
        <x:v>HELM; Timing; HumanEval; IFEval; SimpleQA/FActScore</x:v>
      </x:c>
    </x:row>
    <x:row r="36" ht="150" customHeight="1">
      <x:c r="A36" s="16" t="str">
        <x:v>G-RD-B</x:v>
      </x:c>
      <x:c r="B36" s="16" t="str">
        <x:v>Gaming</x:v>
      </x:c>
      <x:c r="C36" s="16" t="str">
        <x:v>Rising Game Developer</x:v>
      </x:c>
      <x:c r="D36" s="16" t="str">
        <x:v>Balanced</x:v>
      </x:c>
      <x:c r="E36" s="17" t="str">
        <x:v>Debug a small gameplay script</x:v>
      </x:c>
      <x:c r="F36" s="18" t="n">
        <x:v>4</x:v>
      </x:c>
      <x:c r="G36" s="18" t="n">
        <x:v>90</x:v>
      </x:c>
      <x:c r="H36" s="17" t="str">
        <x:v>Inline in prompt</x:v>
      </x:c>
      <x:c r="I36" s="17" t="str">
        <x:v>Fix this Python-like game function so damage never reduces health below zero and defeated is True exactly when health reaches zero. Return only the corrected function and three assert tests.
```python
def apply_damage(health, damage):
    health = health - damage
    defeated = health &lt; 0
    return health, defeated
```</x:v>
      </x:c>
      <x:c r="J36" s="17" t="str">
        <x:v>Coding &amp; Problem Solving</x:v>
      </x:c>
      <x:c r="K36" s="17" t="str">
        <x:v>Handles boundary at exactly zero and excessive damage.</x:v>
      </x:c>
      <x:c r="L36" s="17" t="str">
        <x:v>N/A</x:v>
      </x:c>
      <x:c r="M36" s="17" t="str">
        <x:v>Function passes hidden normal, exact-zero, and overkill tests.</x:v>
      </x:c>
      <x:c r="N36" s="17" t="str">
        <x:v>Only function plus exactly 3 asserts.</x:v>
      </x:c>
      <x:c r="O36" s="17" t="str">
        <x:v>N/A</x:v>
      </x:c>
      <x:c r="P36" s="17" t="str">
        <x:v>N/A</x:v>
      </x:c>
      <x:c r="Q36" s="17" t="str">
        <x:v>N/A</x:v>
      </x:c>
      <x:c r="R36" s="17" t="str">
        <x:v>Executable; clamps to 0; defeated iff result == 0; three tests.</x:v>
      </x:c>
      <x:c r="S36" s="17" t="str">
        <x:v>Sandboxed unit tests + output rules</x:v>
      </x:c>
      <x:c r="T36" s="19" t="n">
        <x:f>COUNTIF(K36:Q36,"&lt;&gt;N/A")</x:f>
        <x:v>3</x:v>
      </x:c>
      <x:c r="U36" s="20" t="str">
        <x:v>HELM; Timing; BBH; HumanEval; IFEval</x:v>
      </x:c>
    </x:row>
    <x:row r="37" ht="150" customHeight="1">
      <x:c r="A37" s="16" t="str">
        <x:v>G-RD-H</x:v>
      </x:c>
      <x:c r="B37" s="16" t="str">
        <x:v>Gaming</x:v>
      </x:c>
      <x:c r="C37" s="16" t="str">
        <x:v>Rising Game Developer</x:v>
      </x:c>
      <x:c r="D37" s="16" t="str">
        <x:v>Heavy</x:v>
      </x:c>
      <x:c r="E37" s="17" t="str">
        <x:v>Implement a simple game feature</x:v>
      </x:c>
      <x:c r="F37" s="18" t="n">
        <x:v>8</x:v>
      </x:c>
      <x:c r="G37" s="18" t="n">
        <x:v>300</x:v>
      </x:c>
      <x:c r="H37" s="17" t="str">
        <x:v>Inline in prompt</x:v>
      </x:c>
      <x:c r="I37" s="17" t="str">
        <x:v>Implement a Python `Inventory` class for a small game. Requirements: capacity is total item count; add(name, qty) rejects nonpositive qty and returns False if capacity would be exceeded; remove(name, qty) never goes negative and returns False when insufficient; count(name) returns 0 when absent; serialize() returns deterministic JSON with alphabetical item keys. Return code only. Hidden tests include empty inventory, stacking, exact capacity, overflow, removal, invalid quantities, and deterministic serialization.</x:v>
      </x:c>
      <x:c r="J37" s="17" t="str">
        <x:v>Coding &amp; Problem Solving</x:v>
      </x:c>
      <x:c r="K37" s="17" t="str">
        <x:v>Correct state transitions and edge cases.</x:v>
      </x:c>
      <x:c r="L37" s="17" t="str">
        <x:v>N/A</x:v>
      </x:c>
      <x:c r="M37" s="17" t="str">
        <x:v>Code executes and passes all hidden tests.</x:v>
      </x:c>
      <x:c r="N37" s="17" t="str">
        <x:v>Code only; required API preserved.</x:v>
      </x:c>
      <x:c r="O37" s="17" t="str">
        <x:v>serialize() emits valid deterministic JSON.</x:v>
      </x:c>
      <x:c r="P37" s="17" t="str">
        <x:v>N/A</x:v>
      </x:c>
      <x:c r="Q37" s="17" t="str">
        <x:v>N/A</x:v>
      </x:c>
      <x:c r="R37" s="17" t="str">
        <x:v>Pass all hidden tests; no external package; deterministic output.</x:v>
      </x:c>
      <x:c r="S37" s="17" t="str">
        <x:v>Sandboxed unit tests + JSON parse/order check</x:v>
      </x:c>
      <x:c r="T37" s="19" t="n">
        <x:f>COUNTIF(K37:Q37,"&lt;&gt;N/A")</x:f>
        <x:v>4</x:v>
      </x:c>
      <x:c r="U37" s="20" t="str">
        <x:v>HELM; Timing; BBH; HumanEval; IFEval; JSONSchemaBench</x:v>
      </x:c>
    </x:row>
    <x:row r="38" ht="150" customHeight="1">
      <x:c r="A38" s="16" t="str">
        <x:v>B-EX-L</x:v>
      </x:c>
      <x:c r="B38" s="16" t="str">
        <x:v>Commercial</x:v>
      </x:c>
      <x:c r="C38" s="16" t="str">
        <x:v>Executive &amp; Decision Maker</x:v>
      </x:c>
      <x:c r="D38" s="16" t="str">
        <x:v>Light</x:v>
      </x:c>
      <x:c r="E38" s="17" t="str">
        <x:v>Summarize an executive update</x:v>
      </x:c>
      <x:c r="F38" s="18" t="n">
        <x:v>2</x:v>
      </x:c>
      <x:c r="G38" s="18" t="n">
        <x:v>10</x:v>
      </x:c>
      <x:c r="H38" s="17" t="str">
        <x:v>Inline in prompt</x:v>
      </x:c>
      <x:c r="I38" s="17" t="str">
        <x:v>Summarize this update in exactly two bullets: ‘Launch remains September 15. Certification completed. Packaging is five days late but has seven days of schedule buffer. No customer shipment impact is expected.’ Bullet 1 must state status; bullet 2 must state risk and impact. Do not add a recommendation.</x:v>
      </x:c>
      <x:c r="J38" s="17" t="str">
        <x:v>Factual Accuracy</x:v>
      </x:c>
      <x:c r="K38" s="17" t="str">
        <x:v>Distinguishes current status from buffered risk.</x:v>
      </x:c>
      <x:c r="L38" s="17" t="str">
        <x:v>N/A</x:v>
      </x:c>
      <x:c r="M38" s="17" t="str">
        <x:v>N/A</x:v>
      </x:c>
      <x:c r="N38" s="17" t="str">
        <x:v>Exactly 2 bullets with specified roles; no recommendation.</x:v>
      </x:c>
      <x:c r="O38" s="17" t="str">
        <x:v>N/A</x:v>
      </x:c>
      <x:c r="P38" s="17" t="str">
        <x:v>Date, certification, 5-day delay, 7-day buffer, and no expected impact preserved.</x:v>
      </x:c>
      <x:c r="Q38" s="17" t="str">
        <x:v>N/A</x:v>
      </x:c>
      <x:c r="R38" s="17" t="str">
        <x:v>No omission or distortion of decision-relevant facts.</x:v>
      </x:c>
      <x:c r="S38" s="17" t="str">
        <x:v>Fact inventory + rules</x:v>
      </x:c>
      <x:c r="T38" s="19" t="n">
        <x:f>COUNTIF(K38:Q38,"&lt;&gt;N/A")</x:f>
        <x:v>3</x:v>
      </x:c>
      <x:c r="U38" s="20" t="str">
        <x:v>HELM; Timing; BBH; IFEval; SimpleQA/FActScore</x:v>
      </x:c>
    </x:row>
    <x:row r="39" ht="150" customHeight="1">
      <x:c r="A39" s="16" t="str">
        <x:v>B-EX-B</x:v>
      </x:c>
      <x:c r="B39" s="16" t="str">
        <x:v>Commercial</x:v>
      </x:c>
      <x:c r="C39" s="16" t="str">
        <x:v>Executive &amp; Decision Maker</x:v>
      </x:c>
      <x:c r="D39" s="16" t="str">
        <x:v>Balanced</x:v>
      </x:c>
      <x:c r="E39" s="17" t="str">
        <x:v>Create a one-page executive brief</x:v>
      </x:c>
      <x:c r="F39" s="18" t="n">
        <x:v>4</x:v>
      </x:c>
      <x:c r="G39" s="18" t="n">
        <x:v>60</x:v>
      </x:c>
      <x:c r="H39" s="17" t="str">
        <x:v>QUARTER_UPDATE: plan/actual revenue, 3 risks with impact/likelihood, decision facts</x:v>
      </x:c>
      <x:c r="I39" s="17" t="str">
        <x:v>Using QUARTER_UPDATE, create a brief under 250 words with headings STATUS, VARIANCE, RISKS, and DECISIONS NEEDED. Calculate revenue variance versus plan in dollars and percent. Rank the three supplied risks by impact × likelihood. Ask for only decisions supported by the source. Use no external assumptions.</x:v>
      </x:c>
      <x:c r="J39" s="17" t="str">
        <x:v>Reasoning</x:v>
      </x:c>
      <x:c r="K39" s="17" t="str">
        <x:v>Risk ranking correctly applies impact × likelihood and decisions follow evidence.</x:v>
      </x:c>
      <x:c r="L39" s="17" t="str">
        <x:v>Dollar and percentage variance exact.</x:v>
      </x:c>
      <x:c r="M39" s="17" t="str">
        <x:v>N/A</x:v>
      </x:c>
      <x:c r="N39" s="17" t="str">
        <x:v>&lt;250 words; exact headings.</x:v>
      </x:c>
      <x:c r="O39" s="17" t="str">
        <x:v>N/A</x:v>
      </x:c>
      <x:c r="P39" s="17" t="str">
        <x:v>All claims and decisions grounded in update.</x:v>
      </x:c>
      <x:c r="Q39" s="17" t="str">
        <x:v>N/A</x:v>
      </x:c>
      <x:c r="R39" s="17" t="str">
        <x:v>Calculations exact; all seeded risks covered; no invented decision.</x:v>
      </x:c>
      <x:c r="S39" s="17" t="str">
        <x:v>Math + risk ranking + grounding</x:v>
      </x:c>
      <x:c r="T39" s="19" t="n">
        <x:f>COUNTIF(K39:Q39,"&lt;&gt;N/A")</x:f>
        <x:v>4</x:v>
      </x:c>
      <x:c r="U39" s="20" t="str">
        <x:v>HELM; Timing; BBH; GSM8K; IFEval; SimpleQA/FActScore</x:v>
      </x:c>
    </x:row>
    <x:row r="40" ht="150" customHeight="1">
      <x:c r="A40" s="16" t="str">
        <x:v>B-EX-H</x:v>
      </x:c>
      <x:c r="B40" s="16" t="str">
        <x:v>Commercial</x:v>
      </x:c>
      <x:c r="C40" s="16" t="str">
        <x:v>Executive &amp; Decision Maker</x:v>
      </x:c>
      <x:c r="D40" s="16" t="str">
        <x:v>Heavy</x:v>
      </x:c>
      <x:c r="E40" s="17" t="str">
        <x:v>Analyze a board report</x:v>
      </x:c>
      <x:c r="F40" s="18" t="n">
        <x:v>8</x:v>
      </x:c>
      <x:c r="G40" s="18" t="n">
        <x:v>180</x:v>
      </x:c>
      <x:c r="H40" s="17" t="str">
        <x:v>BOARD_REPORT_10P: page-numbered report with seeded decisions and contradictions</x:v>
      </x:c>
      <x:c r="I40" s="17" t="str">
        <x:v>Using BOARD_REPORT_10P, produce an executive decision memo with: five key findings, three decisions required, quantified risks, option comparison, recommended option with assumptions, and a JSON decision register. Cite page numbers for every numeric or factual claim. Explicitly identify contradictions between sections and do not resolve them by guessing.</x:v>
      </x:c>
      <x:c r="J40" s="17" t="str">
        <x:v>Reasoning</x:v>
      </x:c>
      <x:c r="K40" s="17" t="str">
        <x:v>Findings, options, recommendation, and contradictions logically connected.</x:v>
      </x:c>
      <x:c r="L40" s="17" t="str">
        <x:v>All quoted values and derived comparisons correct.</x:v>
      </x:c>
      <x:c r="M40" s="17" t="str">
        <x:v>N/A</x:v>
      </x:c>
      <x:c r="N40" s="17" t="str">
        <x:v>Exact required components and counts.</x:v>
      </x:c>
      <x:c r="O40" s="17" t="str">
        <x:v>Valid decision-register JSON with owner, decision, due_date, dependency.</x:v>
      </x:c>
      <x:c r="P40" s="17" t="str">
        <x:v>Atomic claims supported by cited pages; contradictions preserved.</x:v>
      </x:c>
      <x:c r="Q40" s="17" t="str">
        <x:v>N/A</x:v>
      </x:c>
      <x:c r="R40" s="17" t="str">
        <x:v>All golden decisions/contradictions found; citations valid; no fabricated resolution.</x:v>
      </x:c>
      <x:c r="S40" s="17" t="str">
        <x:v>Coverage + FActScore-style grounding + math + schema</x:v>
      </x:c>
      <x:c r="T40" s="19" t="n">
        <x:f>COUNTIF(K40:Q40,"&lt;&gt;N/A")</x:f>
        <x:v>5</x:v>
      </x:c>
      <x:c r="U40" s="20" t="str">
        <x:v>HELM; Timing; BBH; GSM8K; IFEval; JSONSchemaBench; SimpleQA/FActScore</x:v>
      </x:c>
    </x:row>
    <x:row r="41" ht="150" customHeight="1">
      <x:c r="A41" s="16" t="str">
        <x:v>B-PM-L</x:v>
      </x:c>
      <x:c r="B41" s="16" t="str">
        <x:v>Commercial</x:v>
      </x:c>
      <x:c r="C41" s="16" t="str">
        <x:v>Project &amp; Operations Manager</x:v>
      </x:c>
      <x:c r="D41" s="16" t="str">
        <x:v>Light</x:v>
      </x:c>
      <x:c r="E41" s="17" t="str">
        <x:v>Extract meeting actions</x:v>
      </x:c>
      <x:c r="F41" s="18" t="n">
        <x:v>2</x:v>
      </x:c>
      <x:c r="G41" s="18" t="n">
        <x:v>10</x:v>
      </x:c>
      <x:c r="H41" s="17" t="str">
        <x:v>Inline in prompt</x:v>
      </x:c>
      <x:c r="I41" s="17" t="str">
        <x:v>From the note below, return only a JSON array of action items with keys owner, action, due. Note: Amina will send the revised forecast Thursday. Leo will confirm supplier capacity by August 31. Priya discussed testing but accepted no action.</x:v>
      </x:c>
      <x:c r="J41" s="17" t="str">
        <x:v>Structured Output</x:v>
      </x:c>
      <x:c r="K41" s="17" t="str">
        <x:v>N/A</x:v>
      </x:c>
      <x:c r="L41" s="17" t="str">
        <x:v>N/A</x:v>
      </x:c>
      <x:c r="M41" s="17" t="str">
        <x:v>N/A</x:v>
      </x:c>
      <x:c r="N41" s="17" t="str">
        <x:v>Only JSON; excludes discussion without accepted action.</x:v>
      </x:c>
      <x:c r="O41" s="17" t="str">
        <x:v>Valid two-item array with exact keys and values.</x:v>
      </x:c>
      <x:c r="P41" s="17" t="str">
        <x:v>Owners, actions, and due dates exactly extracted.</x:v>
      </x:c>
      <x:c r="Q41" s="17" t="str">
        <x:v>N/A</x:v>
      </x:c>
      <x:c r="R41" s="17" t="str">
        <x:v>Exactly 2 actions; Priya absent; JSON valid.</x:v>
      </x:c>
      <x:c r="S41" s="17" t="str">
        <x:v>JSON schema + exact extraction</x:v>
      </x:c>
      <x:c r="T41" s="19" t="n">
        <x:f>COUNTIF(K41:Q41,"&lt;&gt;N/A")</x:f>
        <x:v>3</x:v>
      </x:c>
      <x:c r="U41" s="20" t="str">
        <x:v>HELM; Timing; IFEval; JSONSchemaBench; SimpleQA/FActScore</x:v>
      </x:c>
    </x:row>
    <x:row r="42" ht="150" customHeight="1">
      <x:c r="A42" s="16" t="str">
        <x:v>B-PM-B</x:v>
      </x:c>
      <x:c r="B42" s="16" t="str">
        <x:v>Commercial</x:v>
      </x:c>
      <x:c r="C42" s="16" t="str">
        <x:v>Project &amp; Operations Manager</x:v>
      </x:c>
      <x:c r="D42" s="16" t="str">
        <x:v>Balanced</x:v>
      </x:c>
      <x:c r="E42" s="17" t="str">
        <x:v>Create a project status report</x:v>
      </x:c>
      <x:c r="F42" s="18" t="n">
        <x:v>4</x:v>
      </x:c>
      <x:c r="G42" s="18" t="n">
        <x:v>60</x:v>
      </x:c>
      <x:c r="H42" s="17" t="str">
        <x:v>PROJECT_SNAPSHOT: milestones, planned/actual dates, risk ratings and mitigations</x:v>
      </x:c>
      <x:c r="I42" s="17" t="str">
        <x:v>Using PROJECT_SNAPSHOT, produce a status report with RAG status, completed work, next milestones, top three risks, owners, and due dates. Determine overall RAG using this rule: Red if any critical milestone is &gt;5 days late; Amber if 1-5 days late or any high risk lacks mitigation; otherwise Green. Explain the status in one sentence and return the risk register as JSON.</x:v>
      </x:c>
      <x:c r="J42" s="17" t="str">
        <x:v>Reasoning</x:v>
      </x:c>
      <x:c r="K42" s="17" t="str">
        <x:v>Applies RAG rule correctly and prioritizes top risks.</x:v>
      </x:c>
      <x:c r="L42" s="17" t="str">
        <x:v>Days-late calculations exact.</x:v>
      </x:c>
      <x:c r="M42" s="17" t="str">
        <x:v>N/A</x:v>
      </x:c>
      <x:c r="N42" s="17" t="str">
        <x:v>All report sections plus one-sentence rationale.</x:v>
      </x:c>
      <x:c r="O42" s="17" t="str">
        <x:v>Valid JSON risk register with owner/due/mitigation.</x:v>
      </x:c>
      <x:c r="P42" s="17" t="str">
        <x:v>All facts trace to snapshot.</x:v>
      </x:c>
      <x:c r="Q42" s="17" t="str">
        <x:v>N/A</x:v>
      </x:c>
      <x:c r="R42" s="17" t="str">
        <x:v>Correct RAG; exact lateness; no missing high/critical risk.</x:v>
      </x:c>
      <x:c r="S42" s="17" t="str">
        <x:v>Rule engine + date math + schema</x:v>
      </x:c>
      <x:c r="T42" s="19" t="n">
        <x:f>COUNTIF(K42:Q42,"&lt;&gt;N/A")</x:f>
        <x:v>5</x:v>
      </x:c>
      <x:c r="U42" s="20" t="str">
        <x:v>HELM; Timing; BBH; GSM8K; IFEval; JSONSchemaBench; SimpleQA/FActScore</x:v>
      </x:c>
    </x:row>
    <x:row r="43" ht="150" customHeight="1">
      <x:c r="A43" s="16" t="str">
        <x:v>B-PM-H</x:v>
      </x:c>
      <x:c r="B43" s="16" t="str">
        <x:v>Commercial</x:v>
      </x:c>
      <x:c r="C43" s="16" t="str">
        <x:v>Project &amp; Operations Manager</x:v>
      </x:c>
      <x:c r="D43" s="16" t="str">
        <x:v>Heavy</x:v>
      </x:c>
      <x:c r="E43" s="17" t="str">
        <x:v>Synthesize a program plan</x:v>
      </x:c>
      <x:c r="F43" s="18" t="n">
        <x:v>8</x:v>
      </x:c>
      <x:c r="G43" s="18" t="n">
        <x:v>180</x:v>
      </x:c>
      <x:c r="H43" s="17" t="str">
        <x:v>PROGRAM_PACK: 4 documents with dependency graph and seeded date contradictions</x:v>
      </x:c>
      <x:c r="I43" s="17" t="str">
        <x:v>Using PROGRAM_PACK, build an integrated plan with milestones, dependencies, owners, critical path, conflicts, and mitigations. Calculate schedule impact of each dependency delay. Identify inconsistent dates across documents. Return a human-readable plan and JSON arrays for milestones, conflicts, and risks. Never silently choose between contradictory sources; cite document and section.</x:v>
      </x:c>
      <x:c r="J43" s="17" t="str">
        <x:v>Reasoning</x:v>
      </x:c>
      <x:c r="K43" s="17" t="str">
        <x:v>Correct dependency logic, critical path, and conflict handling.</x:v>
      </x:c>
      <x:c r="L43" s="17" t="str">
        <x:v>Schedule impacts and date arithmetic exact.</x:v>
      </x:c>
      <x:c r="M43" s="17" t="str">
        <x:v>N/A</x:v>
      </x:c>
      <x:c r="N43" s="17" t="str">
        <x:v>All plan elements and citations included.</x:v>
      </x:c>
      <x:c r="O43" s="17" t="str">
        <x:v>Three valid JSON arrays with consistent IDs.</x:v>
      </x:c>
      <x:c r="P43" s="17" t="str">
        <x:v>Contradictions and facts accurately tied to sources.</x:v>
      </x:c>
      <x:c r="Q43" s="17" t="str">
        <x:v>N/A</x:v>
      </x:c>
      <x:c r="R43" s="17" t="str">
        <x:v>Critical path matches golden plan; all contradictions found; JSON referential integrity.</x:v>
      </x:c>
      <x:c r="S43" s="17" t="str">
        <x:v>Graph/date validator + evidence mapping + schema</x:v>
      </x:c>
      <x:c r="T43" s="19" t="n">
        <x:f>COUNTIF(K43:Q43,"&lt;&gt;N/A")</x:f>
        <x:v>5</x:v>
      </x:c>
      <x:c r="U43" s="20" t="str">
        <x:v>HELM; Timing; BBH; GSM8K; IFEval; JSONSchemaBench; SimpleQA/FActScore</x:v>
      </x:c>
    </x:row>
    <x:row r="44" ht="150" customHeight="1">
      <x:c r="A44" s="16" t="str">
        <x:v>B-EN-L</x:v>
      </x:c>
      <x:c r="B44" s="16" t="str">
        <x:v>Commercial</x:v>
      </x:c>
      <x:c r="C44" s="16" t="str">
        <x:v>Engineer &amp; Software Developer</x:v>
      </x:c>
      <x:c r="D44" s="16" t="str">
        <x:v>Light</x:v>
      </x:c>
      <x:c r="E44" s="17" t="str">
        <x:v>Correct a code defect</x:v>
      </x:c>
      <x:c r="F44" s="18" t="n">
        <x:v>2</x:v>
      </x:c>
      <x:c r="G44" s="18" t="n">
        <x:v>12</x:v>
      </x:c>
      <x:c r="H44" s="17" t="str">
        <x:v>Inline in prompt</x:v>
      </x:c>
      <x:c r="I44" s="17" t="str">
        <x:v>Correct this Python function so it returns the larger of two numbers and handles equality. Return only the function.
```python
def larger(a, b):
    if a &lt; b:
        return a
    return b
```</x:v>
      </x:c>
      <x:c r="J44" s="17" t="str">
        <x:v>Coding &amp; Problem Solving</x:v>
      </x:c>
      <x:c r="K44" s="17" t="str">
        <x:v>N/A</x:v>
      </x:c>
      <x:c r="L44" s="17" t="str">
        <x:v>N/A</x:v>
      </x:c>
      <x:c r="M44" s="17" t="str">
        <x:v>Passes a&gt;b, b&gt;a, and equality tests.</x:v>
      </x:c>
      <x:c r="N44" s="17" t="str">
        <x:v>Function only; signature unchanged.</x:v>
      </x:c>
      <x:c r="O44" s="17" t="str">
        <x:v>N/A</x:v>
      </x:c>
      <x:c r="P44" s="17" t="str">
        <x:v>N/A</x:v>
      </x:c>
      <x:c r="Q44" s="17" t="str">
        <x:v>N/A</x:v>
      </x:c>
      <x:c r="R44" s="17" t="str">
        <x:v>Executable and all hidden tests pass.</x:v>
      </x:c>
      <x:c r="S44" s="17" t="str">
        <x:v>Sandboxed unit tests</x:v>
      </x:c>
      <x:c r="T44" s="19" t="n">
        <x:f>COUNTIF(K44:Q44,"&lt;&gt;N/A")</x:f>
        <x:v>2</x:v>
      </x:c>
      <x:c r="U44" s="20" t="str">
        <x:v>HELM; Timing; HumanEval; IFEval</x:v>
      </x:c>
    </x:row>
    <x:row r="45" ht="150" customHeight="1">
      <x:c r="A45" s="16" t="str">
        <x:v>B-EN-B</x:v>
      </x:c>
      <x:c r="B45" s="16" t="str">
        <x:v>Commercial</x:v>
      </x:c>
      <x:c r="C45" s="16" t="str">
        <x:v>Engineer &amp; Software Developer</x:v>
      </x:c>
      <x:c r="D45" s="16" t="str">
        <x:v>Balanced</x:v>
      </x:c>
      <x:c r="E45" s="17" t="str">
        <x:v>Implement and test a function</x:v>
      </x:c>
      <x:c r="F45" s="18" t="n">
        <x:v>4</x:v>
      </x:c>
      <x:c r="G45" s="18" t="n">
        <x:v>90</x:v>
      </x:c>
      <x:c r="H45" s="17" t="str">
        <x:v>Inline in prompt</x:v>
      </x:c>
      <x:c r="I45" s="17" t="str">
        <x:v>Write Python function `merge_intervals(intervals)` that merges overlapping or touching integer intervals. Normalize reversed endpoints, do not mutate input, and return sorted list-of-lists. Return the function followed by exactly five assert tests. Examples: [[1,3],[3,5]] -&gt; [[1,5]]; [[8,6],[2,4]] -&gt; [[2,4],[6,8]].</x:v>
      </x:c>
      <x:c r="J45" s="17" t="str">
        <x:v>Coding &amp; Problem Solving</x:v>
      </x:c>
      <x:c r="K45" s="17" t="str">
        <x:v>Correct normalization, ordering, overlap/touch logic, and immutability.</x:v>
      </x:c>
      <x:c r="L45" s="17" t="str">
        <x:v>N/A</x:v>
      </x:c>
      <x:c r="M45" s="17" t="str">
        <x:v>Passes hidden empty, nested, touching, reversed, and negative tests.</x:v>
      </x:c>
      <x:c r="N45" s="17" t="str">
        <x:v>Function then exactly 5 asserts; API exact.</x:v>
      </x:c>
      <x:c r="O45" s="17" t="str">
        <x:v>N/A</x:v>
      </x:c>
      <x:c r="P45" s="17" t="str">
        <x:v>N/A</x:v>
      </x:c>
      <x:c r="Q45" s="17" t="str">
        <x:v>N/A</x:v>
      </x:c>
      <x:c r="R45" s="17" t="str">
        <x:v>All tests pass; input unmodified; deterministic sorted result.</x:v>
      </x:c>
      <x:c r="S45" s="17" t="str">
        <x:v>Sandboxed unit tests + mutation check</x:v>
      </x:c>
      <x:c r="T45" s="19" t="n">
        <x:f>COUNTIF(K45:Q45,"&lt;&gt;N/A")</x:f>
        <x:v>3</x:v>
      </x:c>
      <x:c r="U45" s="20" t="str">
        <x:v>HELM; Timing; BBH; HumanEval; IFEval</x:v>
      </x:c>
    </x:row>
    <x:row r="46" ht="150" customHeight="1">
      <x:c r="A46" s="16" t="str">
        <x:v>B-EN-H</x:v>
      </x:c>
      <x:c r="B46" s="16" t="str">
        <x:v>Commercial</x:v>
      </x:c>
      <x:c r="C46" s="16" t="str">
        <x:v>Engineer &amp; Software Developer</x:v>
      </x:c>
      <x:c r="D46" s="16" t="str">
        <x:v>Heavy</x:v>
      </x:c>
      <x:c r="E46" s="17" t="str">
        <x:v>Implement a robust technical component</x:v>
      </x:c>
      <x:c r="F46" s="18" t="n">
        <x:v>8</x:v>
      </x:c>
      <x:c r="G46" s="18" t="n">
        <x:v>300</x:v>
      </x:c>
      <x:c r="H46" s="17" t="str">
        <x:v>Inline in prompt</x:v>
      </x:c>
      <x:c r="I46" s="17" t="str">
        <x:v>Implement Python function `topological_batches(nodes, edges)` returning deterministic execution batches. Each batch contains alphabetically sorted nodes whose prerequisites are complete; include isolated nodes; reject unknown edge nodes with ValueError; detect cycles and raise ValueError listing all cycle-involved nodes alphabetically; do not mutate inputs. Return code only. Hidden tests cover DAGs, multiple roots, isolated nodes, duplicates, unknown nodes, self-cycle, and multi-node cycle.</x:v>
      </x:c>
      <x:c r="J46" s="17" t="str">
        <x:v>Coding &amp; Problem Solving</x:v>
      </x:c>
      <x:c r="K46" s="17" t="str">
        <x:v>Correct dependency semantics, batch formation, determinism, and cycle logic.</x:v>
      </x:c>
      <x:c r="L46" s="17" t="str">
        <x:v>N/A</x:v>
      </x:c>
      <x:c r="M46" s="17" t="str">
        <x:v>Passes full hidden unit suite and complexity is reasonable.</x:v>
      </x:c>
      <x:c r="N46" s="17" t="str">
        <x:v>Code only; signature and exceptions comply.</x:v>
      </x:c>
      <x:c r="O46" s="17" t="str">
        <x:v>Cycle error contains deterministic machine-checkable node list.</x:v>
      </x:c>
      <x:c r="P46" s="17" t="str">
        <x:v>N/A</x:v>
      </x:c>
      <x:c r="Q46" s="17" t="str">
        <x:v>N/A</x:v>
      </x:c>
      <x:c r="R46" s="17" t="str">
        <x:v>All hidden tests pass; deterministic; no mutation; correct error behavior.</x:v>
      </x:c>
      <x:c r="S46" s="17" t="str">
        <x:v>Sandboxed unit/property tests</x:v>
      </x:c>
      <x:c r="T46" s="19" t="n">
        <x:f>COUNTIF(K46:Q46,"&lt;&gt;N/A")</x:f>
        <x:v>4</x:v>
      </x:c>
      <x:c r="U46" s="20" t="str">
        <x:v>HELM; Timing; BBH; HumanEval; IFEval; JSONSchemaBench</x:v>
      </x:c>
    </x:row>
    <x:row r="47" ht="150" customHeight="1">
      <x:c r="A47" s="16" t="str">
        <x:v>B-AF-L</x:v>
      </x:c>
      <x:c r="B47" s="16" t="str">
        <x:v>Commercial</x:v>
      </x:c>
      <x:c r="C47" s="16" t="str">
        <x:v>Analyst &amp; Finance Professional</x:v>
      </x:c>
      <x:c r="D47" s="16" t="str">
        <x:v>Light</x:v>
      </x:c>
      <x:c r="E47" s="17" t="str">
        <x:v>Calculate a business value</x:v>
      </x:c>
      <x:c r="F47" s="18" t="n">
        <x:v>2</x:v>
      </x:c>
      <x:c r="G47" s="18" t="n">
        <x:v>10</x:v>
      </x:c>
      <x:c r="H47" s="17" t="str">
        <x:v>Inline in prompt</x:v>
      </x:c>
      <x:c r="I47" s="17" t="str">
        <x:v>A team sold 480 units at $75 each and issued refunds for 24 units at the same price. Return net revenue as one line formatted exactly `NET_REVENUE=$X,XXX` with no explanation.</x:v>
      </x:c>
      <x:c r="J47" s="17" t="str">
        <x:v>Math</x:v>
      </x:c>
      <x:c r="K47" s="17" t="str">
        <x:v>N/A</x:v>
      </x:c>
      <x:c r="L47" s="17" t="str">
        <x:v>(480-24)×75 = 34,200.</x:v>
      </x:c>
      <x:c r="M47" s="17" t="str">
        <x:v>N/A</x:v>
      </x:c>
      <x:c r="N47" s="17" t="str">
        <x:v>Exact one-line format; no explanation.</x:v>
      </x:c>
      <x:c r="O47" s="17" t="str">
        <x:v>N/A</x:v>
      </x:c>
      <x:c r="P47" s="17" t="str">
        <x:v>N/A</x:v>
      </x:c>
      <x:c r="Q47" s="17" t="str">
        <x:v>N/A</x:v>
      </x:c>
      <x:c r="R47" s="17" t="str">
        <x:v>Exact output NET_REVENUE=$34,200.</x:v>
      </x:c>
      <x:c r="S47" s="17" t="str">
        <x:v>Exact normalized match</x:v>
      </x:c>
      <x:c r="T47" s="19" t="n">
        <x:f>COUNTIF(K47:Q47,"&lt;&gt;N/A")</x:f>
        <x:v>2</x:v>
      </x:c>
      <x:c r="U47" s="20" t="str">
        <x:v>HELM; Timing; GSM8K; IFEval</x:v>
      </x:c>
    </x:row>
    <x:row r="48" ht="150" customHeight="1">
      <x:c r="A48" s="16" t="str">
        <x:v>B-AF-B</x:v>
      </x:c>
      <x:c r="B48" s="16" t="str">
        <x:v>Commercial</x:v>
      </x:c>
      <x:c r="C48" s="16" t="str">
        <x:v>Analyst &amp; Finance Professional</x:v>
      </x:c>
      <x:c r="D48" s="16" t="str">
        <x:v>Balanced</x:v>
      </x:c>
      <x:c r="E48" s="17" t="str">
        <x:v>Analyze a small dataset</x:v>
      </x:c>
      <x:c r="F48" s="18" t="n">
        <x:v>4</x:v>
      </x:c>
      <x:c r="G48" s="18" t="n">
        <x:v>60</x:v>
      </x:c>
      <x:c r="H48" s="17" t="str">
        <x:v>Inline in prompt</x:v>
      </x:c>
      <x:c r="I48" s="17" t="str">
        <x:v>Analyze quarterly revenue: Q1 $1.20M, Q2 $1.32M, Q3 $1.25M, Q4 $1.50M. Calculate quarter-over-quarter percentage change for Q2-Q4 to one decimal, full-year total, and best quarter. Output a Markdown table followed by exactly two insight bullets. Do not annualize or forecast.</x:v>
      </x:c>
      <x:c r="J48" s="17" t="str">
        <x:v>Math</x:v>
      </x:c>
      <x:c r="K48" s="17" t="str">
        <x:v>Insights accurately interpret changes without forecasting.</x:v>
      </x:c>
      <x:c r="L48" s="17" t="str">
        <x:v>QoQ: 10.0%, -5.3%, 20.0%; total $5.27M; Q4 best.</x:v>
      </x:c>
      <x:c r="M48" s="17" t="str">
        <x:v>N/A</x:v>
      </x:c>
      <x:c r="N48" s="17" t="str">
        <x:v>Table plus exactly 2 bullets; one-decimal changes; no forecast.</x:v>
      </x:c>
      <x:c r="O48" s="17" t="str">
        <x:v>N/A</x:v>
      </x:c>
      <x:c r="P48" s="17" t="str">
        <x:v>All statements supported by supplied values.</x:v>
      </x:c>
      <x:c r="Q48" s="17" t="str">
        <x:v>N/A</x:v>
      </x:c>
      <x:c r="R48" s="17" t="str">
        <x:v>All reference values exact within rounding rule.</x:v>
      </x:c>
      <x:c r="S48" s="17" t="str">
        <x:v>Numeric extraction + tolerance + rules</x:v>
      </x:c>
      <x:c r="T48" s="19" t="n">
        <x:f>COUNTIF(K48:Q48,"&lt;&gt;N/A")</x:f>
        <x:v>4</x:v>
      </x:c>
      <x:c r="U48" s="20" t="str">
        <x:v>HELM; Timing; BBH; GSM8K; IFEval; SimpleQA/FActScore</x:v>
      </x:c>
    </x:row>
    <x:row r="49" ht="150" customHeight="1">
      <x:c r="A49" s="16" t="str">
        <x:v>B-AF-H</x:v>
      </x:c>
      <x:c r="B49" s="16" t="str">
        <x:v>Commercial</x:v>
      </x:c>
      <x:c r="C49" s="16" t="str">
        <x:v>Analyst &amp; Finance Professional</x:v>
      </x:c>
      <x:c r="D49" s="16" t="str">
        <x:v>Heavy</x:v>
      </x:c>
      <x:c r="E49" s="17" t="str">
        <x:v>Build a financial scenario analysis</x:v>
      </x:c>
      <x:c r="F49" s="18" t="n">
        <x:v>8</x:v>
      </x:c>
      <x:c r="G49" s="18" t="n">
        <x:v>240</x:v>
      </x:c>
      <x:c r="H49" s="17" t="str">
        <x:v>FINANCE_MODEL: regions, units, prices, costs, scenario assumptions, seeded errors</x:v>
      </x:c>
      <x:c r="I49" s="17" t="str">
        <x:v>Using FINANCE_MODEL, calculate base, upside, and downside revenue, gross profit, operating profit, and margin. Reconcile regional tables to the consolidated total, identify every inconsistency, explain the three largest drivers, and return tables plus JSON with scenarios and reconciliation_errors. Use supplied assumptions only; show formulas and round currency to nearest $1,000 and margins to one decimal.</x:v>
      </x:c>
      <x:c r="J49" s="17" t="str">
        <x:v>Math</x:v>
      </x:c>
      <x:c r="K49" s="17" t="str">
        <x:v>Driver analysis and inconsistency diagnosis follow calculated results.</x:v>
      </x:c>
      <x:c r="L49" s="17" t="str">
        <x:v>All scenarios, totals, margins, rounding, and reconciliation exact.</x:v>
      </x:c>
      <x:c r="M49" s="17" t="str">
        <x:v>N/A</x:v>
      </x:c>
      <x:c r="N49" s="17" t="str">
        <x:v>Tables, formulas, three drivers, and JSON included.</x:v>
      </x:c>
      <x:c r="O49" s="17" t="str">
        <x:v>Valid JSON schema with numeric scenario fields and error list.</x:v>
      </x:c>
      <x:c r="P49" s="17" t="str">
        <x:v>No assumption outside fixture.</x:v>
      </x:c>
      <x:c r="Q49" s="17" t="str">
        <x:v>N/A</x:v>
      </x:c>
      <x:c r="R49" s="17" t="str">
        <x:v>All golden calculations pass; every seeded reconciliation error found.</x:v>
      </x:c>
      <x:c r="S49" s="17" t="str">
        <x:v>Spreadsheet-equivalent calculator + schema</x:v>
      </x:c>
      <x:c r="T49" s="19" t="n">
        <x:f>COUNTIF(K49:Q49,"&lt;&gt;N/A")</x:f>
        <x:v>5</x:v>
      </x:c>
      <x:c r="U49" s="20" t="str">
        <x:v>HELM; Timing; BBH; GSM8K; IFEval; JSONSchemaBench; SimpleQA/FActScore</x:v>
      </x:c>
    </x:row>
    <x:row r="50" ht="150" customHeight="1">
      <x:c r="A50" s="16" t="str">
        <x:v>B-RP-L</x:v>
      </x:c>
      <x:c r="B50" s="16" t="str">
        <x:v>Commercial</x:v>
      </x:c>
      <x:c r="C50" s="16" t="str">
        <x:v>Research &amp; Product Professional</x:v>
      </x:c>
      <x:c r="D50" s="16" t="str">
        <x:v>Light</x:v>
      </x:c>
      <x:c r="E50" s="17" t="str">
        <x:v>Summarize customer feedback</x:v>
      </x:c>
      <x:c r="F50" s="18" t="n">
        <x:v>2</x:v>
      </x:c>
      <x:c r="G50" s="18" t="n">
        <x:v>10</x:v>
      </x:c>
      <x:c r="H50" s="17" t="str">
        <x:v>Inline in prompt</x:v>
      </x:c>
      <x:c r="I50" s="17" t="str">
        <x:v>Summarize this customer comment in exactly one sentence, then label sentiment as Positive, Mixed, or Negative: ‘Setup was easy and performance is excellent, but the fan becomes distracting during long sessions.’ Do not propose a solution.</x:v>
      </x:c>
      <x:c r="J50" s="17" t="str">
        <x:v>Factual Accuracy</x:v>
      </x:c>
      <x:c r="K50" s="17" t="str">
        <x:v>Correctly classifies mixed sentiment.</x:v>
      </x:c>
      <x:c r="L50" s="17" t="str">
        <x:v>N/A</x:v>
      </x:c>
      <x:c r="M50" s="17" t="str">
        <x:v>N/A</x:v>
      </x:c>
      <x:c r="N50" s="17" t="str">
        <x:v>One summary sentence plus one allowed label; no solution.</x:v>
      </x:c>
      <x:c r="O50" s="17" t="str">
        <x:v>N/A</x:v>
      </x:c>
      <x:c r="P50" s="17" t="str">
        <x:v>Ease, performance, and fan concern retained.</x:v>
      </x:c>
      <x:c r="Q50" s="17" t="str">
        <x:v>N/A</x:v>
      </x:c>
      <x:c r="R50" s="17" t="str">
        <x:v>Label Mixed; no dropped major theme.</x:v>
      </x:c>
      <x:c r="S50" s="17" t="str">
        <x:v>Exact label + semantic fact check</x:v>
      </x:c>
      <x:c r="T50" s="19" t="n">
        <x:f>COUNTIF(K50:Q50,"&lt;&gt;N/A")</x:f>
        <x:v>3</x:v>
      </x:c>
      <x:c r="U50" s="20" t="str">
        <x:v>HELM; Timing; BBH; IFEval; SimpleQA/FActScore</x:v>
      </x:c>
    </x:row>
    <x:row r="51" ht="150" customHeight="1">
      <x:c r="A51" s="16" t="str">
        <x:v>B-RP-B</x:v>
      </x:c>
      <x:c r="B51" s="16" t="str">
        <x:v>Commercial</x:v>
      </x:c>
      <x:c r="C51" s="16" t="str">
        <x:v>Research &amp; Product Professional</x:v>
      </x:c>
      <x:c r="D51" s="16" t="str">
        <x:v>Balanced</x:v>
      </x:c>
      <x:c r="E51" s="17" t="str">
        <x:v>Compare competitors and needs</x:v>
      </x:c>
      <x:c r="F51" s="18" t="n">
        <x:v>4</x:v>
      </x:c>
      <x:c r="G51" s="18" t="n">
        <x:v>60</x:v>
      </x:c>
      <x:c r="H51" s="17" t="str">
        <x:v>COMPETITOR_TABLE + 12 fixed quotes with IDs and seeded themes</x:v>
      </x:c>
      <x:c r="I51" s="17" t="str">
        <x:v>Using COMPETITOR_TABLE and 12 customer quotes, identify the top three customer needs, map each competitor against them, and recommend one unmet opportunity. Show quote IDs supporting each need. Separate observed evidence from interpretation and do not estimate market size.</x:v>
      </x:c>
      <x:c r="J51" s="17" t="str">
        <x:v>Reasoning</x:v>
      </x:c>
      <x:c r="K51" s="17" t="str">
        <x:v>Need clustering and opportunity logically follow evidence and gaps.</x:v>
      </x:c>
      <x:c r="L51" s="17" t="str">
        <x:v>N/A</x:v>
      </x:c>
      <x:c r="M51" s="17" t="str">
        <x:v>N/A</x:v>
      </x:c>
      <x:c r="N51" s="17" t="str">
        <x:v>Top 3 needs, competitor map, one opportunity, evidence/interpretation separation.</x:v>
      </x:c>
      <x:c r="O51" s="17" t="str">
        <x:v>N/A</x:v>
      </x:c>
      <x:c r="P51" s="17" t="str">
        <x:v>Quote IDs and competitor claims accurately grounded.</x:v>
      </x:c>
      <x:c r="Q51" s="17" t="str">
        <x:v>N/A</x:v>
      </x:c>
      <x:c r="R51" s="17" t="str">
        <x:v>Each need supported by ≥2 valid quotes; opportunity matches a real gap.</x:v>
      </x:c>
      <x:c r="S51" s="17" t="str">
        <x:v>Evidence coverage + grounded rubric</x:v>
      </x:c>
      <x:c r="T51" s="19" t="n">
        <x:f>COUNTIF(K51:Q51,"&lt;&gt;N/A")</x:f>
        <x:v>3</x:v>
      </x:c>
      <x:c r="U51" s="20" t="str">
        <x:v>HELM; Timing; BBH; IFEval; SimpleQA/FActScore</x:v>
      </x:c>
    </x:row>
    <x:row r="52" ht="150" customHeight="1">
      <x:c r="A52" s="16" t="str">
        <x:v>B-RP-H</x:v>
      </x:c>
      <x:c r="B52" s="16" t="str">
        <x:v>Commercial</x:v>
      </x:c>
      <x:c r="C52" s="16" t="str">
        <x:v>Research &amp; Product Professional</x:v>
      </x:c>
      <x:c r="D52" s="16" t="str">
        <x:v>Heavy</x:v>
      </x:c>
      <x:c r="E52" s="17" t="str">
        <x:v>Synthesize research into requirements</x:v>
      </x:c>
      <x:c r="F52" s="18" t="n">
        <x:v>8</x:v>
      </x:c>
      <x:c r="G52" s="18" t="n">
        <x:v>240</x:v>
      </x:c>
      <x:c r="H52" s="17" t="str">
        <x:v>PRODUCT_RESEARCH_PACK: interviews, survey table, competitor facts, evidence IDs</x:v>
      </x:c>
      <x:c r="I52" s="17" t="str">
        <x:v>Using PRODUCT_RESEARCH_PACK, produce: five findings with evidence, prioritized JTBD needs, 8 product requirements with measurable acceptance criteria, competitor gaps, risks, and open questions. Use MoSCoW priority and explain trade-offs. Return requirements as JSON with id, need_id, priority, requirement, metric, threshold, evidence_ids. Do not convert weak evidence into a firm claim.</x:v>
      </x:c>
      <x:c r="J52" s="17" t="str">
        <x:v>Reasoning</x:v>
      </x:c>
      <x:c r="K52" s="17" t="str">
        <x:v>Findings-to-needs-to-requirements traceability and prioritization are coherent.</x:v>
      </x:c>
      <x:c r="L52" s="17" t="str">
        <x:v>Any percentages/counts match evidence and thresholds are measurable.</x:v>
      </x:c>
      <x:c r="M52" s="17" t="str">
        <x:v>N/A</x:v>
      </x:c>
      <x:c r="N52" s="17" t="str">
        <x:v>Exact counts and all requested sections.</x:v>
      </x:c>
      <x:c r="O52" s="17" t="str">
        <x:v>Valid 8-item JSON with referential integrity.</x:v>
      </x:c>
      <x:c r="P52" s="17" t="str">
        <x:v>Evidence IDs valid; confidence calibrated; no unsupported claim.</x:v>
      </x:c>
      <x:c r="Q52" s="17" t="str">
        <x:v>N/A</x:v>
      </x:c>
      <x:c r="R52" s="17" t="str">
        <x:v>8 testable requirements; every one traces to evidence; JSON IDs consistent.</x:v>
      </x:c>
      <x:c r="S52" s="17" t="str">
        <x:v>Traceability graph + schema + grounded rubric</x:v>
      </x:c>
      <x:c r="T52" s="19" t="n">
        <x:f>COUNTIF(K52:Q52,"&lt;&gt;N/A")</x:f>
        <x:v>5</x:v>
      </x:c>
      <x:c r="U52" s="20" t="str">
        <x:v>HELM; Timing; BBH; GSM8K; IFEval; JSONSchemaBench; SimpleQA/FActScore</x:v>
      </x:c>
    </x:row>
    <x:row r="53" ht="150" customHeight="1">
      <x:c r="A53" s="16" t="str">
        <x:v>B-SM-L</x:v>
      </x:c>
      <x:c r="B53" s="16" t="str">
        <x:v>Commercial</x:v>
      </x:c>
      <x:c r="C53" s="16" t="str">
        <x:v>Sales &amp; Marketing Professional</x:v>
      </x:c>
      <x:c r="D53" s="16" t="str">
        <x:v>Light</x:v>
      </x:c>
      <x:c r="E53" s="17" t="str">
        <x:v>Write a concise outreach line</x:v>
      </x:c>
      <x:c r="F53" s="18" t="n">
        <x:v>2</x:v>
      </x:c>
      <x:c r="G53" s="18" t="n">
        <x:v>7</x:v>
      </x:c>
      <x:c r="H53" s="17" t="str">
        <x:v>Inline in prompt</x:v>
      </x:c>
      <x:c r="I53" s="17" t="str">
        <x:v>Write exactly two email subject lines, each ≤45 characters, for a webinar about simplifying local AI deployment. One should emphasize time saved and one privacy. Do not use FREE, revolutionary, or an exclamation mark.</x:v>
      </x:c>
      <x:c r="J53" s="17" t="str">
        <x:v>Creative Quality</x:v>
      </x:c>
      <x:c r="K53" s="17" t="str">
        <x:v>N/A</x:v>
      </x:c>
      <x:c r="L53" s="17" t="str">
        <x:v>N/A</x:v>
      </x:c>
      <x:c r="M53" s="17" t="str">
        <x:v>N/A</x:v>
      </x:c>
      <x:c r="N53" s="17" t="str">
        <x:v>Exactly 2 lines; ≤45 characters; assigned angles; bans honored.</x:v>
      </x:c>
      <x:c r="O53" s="17" t="str">
        <x:v>N/A</x:v>
      </x:c>
      <x:c r="P53" s="17" t="str">
        <x:v>N/A</x:v>
      </x:c>
      <x:c r="Q53" s="17" t="str">
        <x:v>Clear, credible, differentiated, engaging subjects.</x:v>
      </x:c>
      <x:c r="R53" s="17" t="str">
        <x:v>Constraints pass; value propositions distinct.</x:v>
      </x:c>
      <x:c r="S53" s="17" t="str">
        <x:v>Character/rule checks + creative rubric</x:v>
      </x:c>
      <x:c r="T53" s="19" t="n">
        <x:f>COUNTIF(K53:Q53,"&lt;&gt;N/A")</x:f>
        <x:v>2</x:v>
      </x:c>
      <x:c r="U53" s="20" t="str">
        <x:v>HELM; Timing; IFEval; Creative rubric</x:v>
      </x:c>
    </x:row>
    <x:row r="54" ht="150" customHeight="1">
      <x:c r="A54" s="16" t="str">
        <x:v>B-SM-B</x:v>
      </x:c>
      <x:c r="B54" s="16" t="str">
        <x:v>Commercial</x:v>
      </x:c>
      <x:c r="C54" s="16" t="str">
        <x:v>Sales &amp; Marketing Professional</x:v>
      </x:c>
      <x:c r="D54" s="16" t="str">
        <x:v>Balanced</x:v>
      </x:c>
      <x:c r="E54" s="17" t="str">
        <x:v>Draft personalized outreach</x:v>
      </x:c>
      <x:c r="F54" s="18" t="n">
        <x:v>4</x:v>
      </x:c>
      <x:c r="G54" s="18" t="n">
        <x:v>45</x:v>
      </x:c>
      <x:c r="H54" s="17" t="str">
        <x:v>Inline in prompt</x:v>
      </x:c>
      <x:c r="I54" s="17" t="str">
        <x:v>Draft a 100-130 word email to Jordan, IT Director at Northstar, based only on these facts: 600 employees, hybrid workforce, support-ticket backlog, security review next quarter. Offer a 20-minute discovery call about an on-device AI pilot. Include one subject line, one quantified fact from the brief, and one question. Do not claim savings or existing partnership.</x:v>
      </x:c>
      <x:c r="J54" s="17" t="str">
        <x:v>Creative Quality</x:v>
      </x:c>
      <x:c r="K54" s="17" t="str">
        <x:v>Value proposition connects logically to known needs without overclaiming.</x:v>
      </x:c>
      <x:c r="L54" s="17" t="str">
        <x:v>N/A</x:v>
      </x:c>
      <x:c r="M54" s="17" t="str">
        <x:v>N/A</x:v>
      </x:c>
      <x:c r="N54" s="17" t="str">
        <x:v>100-130 words; subject; one fact; one question; 20-minute call.</x:v>
      </x:c>
      <x:c r="O54" s="17" t="str">
        <x:v>N/A</x:v>
      </x:c>
      <x:c r="P54" s="17" t="str">
        <x:v>Only supplied account facts; no savings/partnership claim.</x:v>
      </x:c>
      <x:c r="Q54" s="17" t="str">
        <x:v>Personalized, concise, credible, natural sales writing.</x:v>
      </x:c>
      <x:c r="R54" s="17" t="str">
        <x:v>No invented personalization; all structural requirements pass.</x:v>
      </x:c>
      <x:c r="S54" s="17" t="str">
        <x:v>Fact inventory + rules + writing rubric</x:v>
      </x:c>
      <x:c r="T54" s="19" t="n">
        <x:f>COUNTIF(K54:Q54,"&lt;&gt;N/A")</x:f>
        <x:v>4</x:v>
      </x:c>
      <x:c r="U54" s="20" t="str">
        <x:v>HELM; Timing; BBH; IFEval; SimpleQA/FActScore; Creative rubric</x:v>
      </x:c>
    </x:row>
    <x:row r="55" ht="150" customHeight="1">
      <x:c r="A55" s="16" t="str">
        <x:v>B-SM-H</x:v>
      </x:c>
      <x:c r="B55" s="16" t="str">
        <x:v>Commercial</x:v>
      </x:c>
      <x:c r="C55" s="16" t="str">
        <x:v>Sales &amp; Marketing Professional</x:v>
      </x:c>
      <x:c r="D55" s="16" t="str">
        <x:v>Heavy</x:v>
      </x:c>
      <x:c r="E55" s="17" t="str">
        <x:v>Create an account proposal package</x:v>
      </x:c>
      <x:c r="F55" s="18" t="n">
        <x:v>8</x:v>
      </x:c>
      <x:c r="G55" s="18" t="n">
        <x:v>180</x:v>
      </x:c>
      <x:c r="H55" s="17" t="str">
        <x:v>ACCOUNT_PACK + APPROVED_CLAIMS with IDs, brand voice, prohibited list</x:v>
      </x:c>
      <x:c r="I55" s="17" t="str">
        <x:v>Using ACCOUNT_PACK and APPROVED_CLAIMS, create an executive proposal: customer context, three prioritized use cases, value hypothesis, 90-day pilot plan, stakeholder map, risks, success metrics, and follow-up email. Quantify only from supplied data. Cite evidence IDs. Return pilot milestones as JSON. Use the brand voice and avoid every prohibited claim.</x:v>
      </x:c>
      <x:c r="J55" s="17" t="str">
        <x:v>Reasoning</x:v>
      </x:c>
      <x:c r="K55" s="17" t="str">
        <x:v>Use cases, pilot, metrics, stakeholders, and risks form a coherent plan.</x:v>
      </x:c>
      <x:c r="L55" s="17" t="str">
        <x:v>Any baseline/target calculations exact and appropriately labeled.</x:v>
      </x:c>
      <x:c r="M55" s="17" t="str">
        <x:v>N/A</x:v>
      </x:c>
      <x:c r="N55" s="17" t="str">
        <x:v>All deliverables included; brand/prohibition rules followed.</x:v>
      </x:c>
      <x:c r="O55" s="17" t="str">
        <x:v>Valid milestone JSON with owner, date, dependency, metric.</x:v>
      </x:c>
      <x:c r="P55" s="17" t="str">
        <x:v>Claims and personalization grounded in approved evidence.</x:v>
      </x:c>
      <x:c r="Q55" s="17" t="str">
        <x:v>Persuasive, specific, cohesive proposal without generic filler.</x:v>
      </x:c>
      <x:c r="R55" s="17" t="str">
        <x:v>No prohibited/unsupported claim; milestones feasible; evidence traceable.</x:v>
      </x:c>
      <x:c r="S55" s="17" t="str">
        <x:v>Claim/evidence validator + schema + proposal rubric</x:v>
      </x:c>
      <x:c r="T55" s="19" t="n">
        <x:f>COUNTIF(K55:Q55,"&lt;&gt;N/A")</x:f>
        <x:v>6</x:v>
      </x:c>
      <x:c r="U55" s="20" t="str">
        <x:v>HELM; Timing; BBH; GSM8K; IFEval; JSONSchemaBench; SimpleQA/FActScore; Creative rubric</x:v>
      </x:c>
    </x:row>
    <x:row r="56" ht="150" customHeight="1">
      <x:c r="A56" s="16" t="str">
        <x:v>B-CS-L</x:v>
      </x:c>
      <x:c r="B56" s="16" t="str">
        <x:v>Commercial</x:v>
      </x:c>
      <x:c r="C56" s="16" t="str">
        <x:v>Customer Support Specialist</x:v>
      </x:c>
      <x:c r="D56" s="16" t="str">
        <x:v>Light</x:v>
      </x:c>
      <x:c r="E56" s="17" t="str">
        <x:v>Classify and rewrite a support ticket</x:v>
      </x:c>
      <x:c r="F56" s="18" t="n">
        <x:v>2</x:v>
      </x:c>
      <x:c r="G56" s="18" t="n">
        <x:v>7</x:v>
      </x:c>
      <x:c r="H56" s="17" t="str">
        <x:v>Inline in prompt</x:v>
      </x:c>
      <x:c r="I56" s="17" t="str">
        <x:v>Return only JSON for this ticket with keys category, urgency, summary. Allowed category: Login, Billing, Hardware, Software. Allowed urgency: Low, Medium, High. Ticket: ‘After today’s update the app closes whenever I export. I need the report for a client meeting in two hours.’</x:v>
      </x:c>
      <x:c r="J56" s="17" t="str">
        <x:v>Structured Output</x:v>
      </x:c>
      <x:c r="K56" s="17" t="str">
        <x:v>Software + High classification follows symptom and deadline.</x:v>
      </x:c>
      <x:c r="L56" s="17" t="str">
        <x:v>N/A</x:v>
      </x:c>
      <x:c r="M56" s="17" t="str">
        <x:v>N/A</x:v>
      </x:c>
      <x:c r="N56" s="17" t="str">
        <x:v>Only JSON and allowed labels.</x:v>
      </x:c>
      <x:c r="O56" s="17" t="str">
        <x:v>Valid object with exact keys and string values.</x:v>
      </x:c>
      <x:c r="P56" s="17" t="str">
        <x:v>Summary preserves update, export crash, and two-hour need.</x:v>
      </x:c>
      <x:c r="Q56" s="17" t="str">
        <x:v>N/A</x:v>
      </x:c>
      <x:c r="R56" s="17" t="str">
        <x:v>category Software; urgency High; parseable exact schema.</x:v>
      </x:c>
      <x:c r="S56" s="17" t="str">
        <x:v>Schema + exact classification</x:v>
      </x:c>
      <x:c r="T56" s="19" t="n">
        <x:f>COUNTIF(K56:Q56,"&lt;&gt;N/A")</x:f>
        <x:v>4</x:v>
      </x:c>
      <x:c r="U56" s="20" t="str">
        <x:v>HELM; Timing; BBH; IFEval; JSONSchemaBench; SimpleQA/FActScore</x:v>
      </x:c>
    </x:row>
    <x:row r="57" ht="150" customHeight="1">
      <x:c r="A57" s="16" t="str">
        <x:v>B-CS-B</x:v>
      </x:c>
      <x:c r="B57" s="16" t="str">
        <x:v>Commercial</x:v>
      </x:c>
      <x:c r="C57" s="16" t="str">
        <x:v>Customer Support Specialist</x:v>
      </x:c>
      <x:c r="D57" s="16" t="str">
        <x:v>Balanced</x:v>
      </x:c>
      <x:c r="E57" s="17" t="str">
        <x:v>Diagnose a support case</x:v>
      </x:c>
      <x:c r="F57" s="18" t="n">
        <x:v>4</x:v>
      </x:c>
      <x:c r="G57" s="18" t="n">
        <x:v>45</x:v>
      </x:c>
      <x:c r="H57" s="17" t="str">
        <x:v>KB_KEYBOARD: receiver/hub/port/pairing excerpts with step order</x:v>
      </x:c>
      <x:c r="I57" s="17" t="str">
        <x:v>Using the KB excerpts, answer the customer whose wireless keyboard works over Bluetooth but not the USB receiver after moving the receiver to a hub. Provide: likely cause, four ordered troubleshooting steps, and escalation condition. Use only KB facts. Do not ask for a factory reset before testing the receiver directly in the PC.</x:v>
      </x:c>
      <x:c r="J57" s="17" t="str">
        <x:v>Problem Solving</x:v>
      </x:c>
      <x:c r="K57" s="17" t="str">
        <x:v>Diagnosis follows change event and isolates hub/port/receiver.</x:v>
      </x:c>
      <x:c r="L57" s="17" t="str">
        <x:v>N/A</x:v>
      </x:c>
      <x:c r="M57" s="17" t="str">
        <x:v>Four safe steps are ordered from reversible/simple to escalation.</x:v>
      </x:c>
      <x:c r="N57" s="17" t="str">
        <x:v>Exactly 4 steps and escalation condition; reset ordering respected.</x:v>
      </x:c>
      <x:c r="O57" s="17" t="str">
        <x:v>N/A</x:v>
      </x:c>
      <x:c r="P57" s="17" t="str">
        <x:v>Every instruction supported by KB.</x:v>
      </x:c>
      <x:c r="Q57" s="17" t="str">
        <x:v>N/A</x:v>
      </x:c>
      <x:c r="R57" s="17" t="str">
        <x:v>Direct-PC receiver test precedes reset; no unsupported step.</x:v>
      </x:c>
      <x:c r="S57" s="17" t="str">
        <x:v>Golden resolution path + grounding</x:v>
      </x:c>
      <x:c r="T57" s="19" t="n">
        <x:f>COUNTIF(K57:Q57,"&lt;&gt;N/A")</x:f>
        <x:v>4</x:v>
      </x:c>
      <x:c r="U57" s="20" t="str">
        <x:v>HELM; Timing; BBH; HumanEval; IFEval; SimpleQA/FActScore</x:v>
      </x:c>
    </x:row>
    <x:row r="58" ht="150" customHeight="1">
      <x:c r="A58" s="16" t="str">
        <x:v>B-CS-H</x:v>
      </x:c>
      <x:c r="B58" s="16" t="str">
        <x:v>Commercial</x:v>
      </x:c>
      <x:c r="C58" s="16" t="str">
        <x:v>Customer Support Specialist</x:v>
      </x:c>
      <x:c r="D58" s="16" t="str">
        <x:v>Heavy</x:v>
      </x:c>
      <x:c r="E58" s="17" t="str">
        <x:v>Resolve a complex customer case</x:v>
      </x:c>
      <x:c r="F58" s="18" t="n">
        <x:v>8</x:v>
      </x:c>
      <x:c r="G58" s="18" t="n">
        <x:v>120</x:v>
      </x:c>
      <x:c r="H58" s="17" t="str">
        <x:v>CASE_HISTORY + DEVICE_LOGS + KB with completed steps and seeded cause</x:v>
      </x:c>
      <x:c r="I58" s="17" t="str">
        <x:v>Using CASE_HISTORY, DEVICE_LOGS, and KB, identify the most likely cause, cite evidence IDs, distinguish confirmed facts from hypotheses, produce a resolution plan with rollback, draft a customer response under 180 words, and return JSON with diagnosis, confidence, actions, escalation_trigger. Preserve customer history and do not repeat steps already completed.</x:v>
      </x:c>
      <x:c r="J58" s="17" t="str">
        <x:v>Problem Solving</x:v>
      </x:c>
      <x:c r="K58" s="17" t="str">
        <x:v>Correct correlation, hypothesis ranking, and non-repetition of completed work.</x:v>
      </x:c>
      <x:c r="L58" s="17" t="str">
        <x:v>N/A</x:v>
      </x:c>
      <x:c r="M58" s="17" t="str">
        <x:v>Resolution actions safely test/fix the seeded cause and include rollback.</x:v>
      </x:c>
      <x:c r="N58" s="17" t="str">
        <x:v>All components; response &lt;180 words.</x:v>
      </x:c>
      <x:c r="O58" s="17" t="str">
        <x:v>Valid JSON exact schema.</x:v>
      </x:c>
      <x:c r="P58" s="17" t="str">
        <x:v>Evidence IDs and customer history accurately grounded.</x:v>
      </x:c>
      <x:c r="Q58" s="17" t="str">
        <x:v>N/A</x:v>
      </x:c>
      <x:c r="R58" s="17" t="str">
        <x:v>Seeded cause identified; no repeated step; safe plan; calibrated confidence.</x:v>
      </x:c>
      <x:c r="S58" s="17" t="str">
        <x:v>Golden case path + evidence mapping + schema</x:v>
      </x:c>
      <x:c r="T58" s="19" t="n">
        <x:f>COUNTIF(K58:Q58,"&lt;&gt;N/A")</x:f>
        <x:v>5</x:v>
      </x:c>
      <x:c r="U58" s="20" t="str">
        <x:v>HELM; Timing; BBH; HumanEval; IFEval; JSONSchemaBench; SimpleQA/FActScore</x:v>
      </x:c>
    </x:row>
    <x:row r="59" ht="150" customHeight="1">
      <x:c r="A59" s="16" t="str">
        <x:v>B-PLC-L</x:v>
      </x:c>
      <x:c r="B59" s="16" t="str">
        <x:v>Commercial</x:v>
      </x:c>
      <x:c r="C59" s="16" t="str">
        <x:v>People, Legal &amp; Compliance Professional</x:v>
      </x:c>
      <x:c r="D59" s="16" t="str">
        <x:v>Light</x:v>
      </x:c>
      <x:c r="E59" s="17" t="str">
        <x:v>Extract a policy obligation</x:v>
      </x:c>
      <x:c r="F59" s="18" t="n">
        <x:v>2</x:v>
      </x:c>
      <x:c r="G59" s="18" t="n">
        <x:v>10</x:v>
      </x:c>
      <x:c r="H59" s="17" t="str">
        <x:v>Inline in prompt</x:v>
      </x:c>
      <x:c r="I59" s="17" t="str">
        <x:v>From the clause, return only JSON with keys party, action, deadline_days: ‘The Supplier shall notify Customer in writing of a confirmed security incident no later than seventy-two (72) hours after confirmation.’ Convert the deadline to an integer number of hours, so name the key deadline_hours instead.</x:v>
      </x:c>
      <x:c r="J59" s="17" t="str">
        <x:v>Structured Output</x:v>
      </x:c>
      <x:c r="K59" s="17" t="str">
        <x:v>N/A</x:v>
      </x:c>
      <x:c r="L59" s="17" t="str">
        <x:v>N/A</x:v>
      </x:c>
      <x:c r="M59" s="17" t="str">
        <x:v>N/A</x:v>
      </x:c>
      <x:c r="N59" s="17" t="str">
        <x:v>Follows corrected key instruction; JSON only.</x:v>
      </x:c>
      <x:c r="O59" s="17" t="str">
        <x:v>Valid object with exact keys party, action, deadline_hours.</x:v>
      </x:c>
      <x:c r="P59" s="17" t="str">
        <x:v>Supplier; written notification; confirmed security incident; 72 hours.</x:v>
      </x:c>
      <x:c r="Q59" s="17" t="str">
        <x:v>N/A</x:v>
      </x:c>
      <x:c r="R59" s="17" t="str">
        <x:v>deadline_hours is integer 72; no deadline_days key.</x:v>
      </x:c>
      <x:c r="S59" s="17" t="str">
        <x:v>Schema + exact extraction</x:v>
      </x:c>
      <x:c r="T59" s="19" t="n">
        <x:f>COUNTIF(K59:Q59,"&lt;&gt;N/A")</x:f>
        <x:v>3</x:v>
      </x:c>
      <x:c r="U59" s="20" t="str">
        <x:v>HELM; Timing; IFEval; JSONSchemaBench; SimpleQA/FActScore</x:v>
      </x:c>
    </x:row>
    <x:row r="60" ht="150" customHeight="1">
      <x:c r="A60" s="16" t="str">
        <x:v>B-PLC-B</x:v>
      </x:c>
      <x:c r="B60" s="16" t="str">
        <x:v>Commercial</x:v>
      </x:c>
      <x:c r="C60" s="16" t="str">
        <x:v>People, Legal &amp; Compliance Professional</x:v>
      </x:c>
      <x:c r="D60" s="16" t="str">
        <x:v>Balanced</x:v>
      </x:c>
      <x:c r="E60" s="17" t="str">
        <x:v>Compare two policy versions</x:v>
      </x:c>
      <x:c r="F60" s="18" t="n">
        <x:v>4</x:v>
      </x:c>
      <x:c r="G60" s="18" t="n">
        <x:v>60</x:v>
      </x:c>
      <x:c r="H60" s="17" t="str">
        <x:v>POLICY_2025 + POLICY_2026 with 5 substantive and cosmetic changes</x:v>
      </x:c>
      <x:c r="I60" s="17" t="str">
        <x:v>Compare POLICY_2025 and POLICY_2026. Create a table with section, old rule, new rule, operational impact, and required owner. Identify substantive changes only; quote no more than 12 consecutive words from either policy. Then list exactly three implementation actions. Do not provide legal advice or infer intent.</x:v>
      </x:c>
      <x:c r="J60" s="17" t="str">
        <x:v>Factual Accuracy</x:v>
      </x:c>
      <x:c r="K60" s="17" t="str">
        <x:v>Operational impacts logically follow textual changes.</x:v>
      </x:c>
      <x:c r="L60" s="17" t="str">
        <x:v>N/A</x:v>
      </x:c>
      <x:c r="M60" s="17" t="str">
        <x:v>N/A</x:v>
      </x:c>
      <x:c r="N60" s="17" t="str">
        <x:v>Required table; exactly 3 actions; quote limit; no legal advice.</x:v>
      </x:c>
      <x:c r="O60" s="17" t="str">
        <x:v>N/A</x:v>
      </x:c>
      <x:c r="P60" s="17" t="str">
        <x:v>All changes accurately reflect policy versions; no omitted seeded substantive change.</x:v>
      </x:c>
      <x:c r="Q60" s="17" t="str">
        <x:v>N/A</x:v>
      </x:c>
      <x:c r="R60" s="17" t="str">
        <x:v>All golden changes found; no unchanged item called substantive; quote limit passes.</x:v>
      </x:c>
      <x:c r="S60" s="17" t="str">
        <x:v>Document diff + rules + grounded rubric</x:v>
      </x:c>
      <x:c r="T60" s="19" t="n">
        <x:f>COUNTIF(K60:Q60,"&lt;&gt;N/A")</x:f>
        <x:v>3</x:v>
      </x:c>
      <x:c r="U60" s="20" t="str">
        <x:v>HELM; Timing; BBH; IFEval; SimpleQA/FActScore</x:v>
      </x:c>
    </x:row>
    <x:row r="61" ht="150" customHeight="1">
      <x:c r="A61" s="21" t="str">
        <x:v>B-PLC-H</x:v>
      </x:c>
      <x:c r="B61" s="21" t="str">
        <x:v>Commercial</x:v>
      </x:c>
      <x:c r="C61" s="21" t="str">
        <x:v>People, Legal &amp; Compliance Professional</x:v>
      </x:c>
      <x:c r="D61" s="21" t="str">
        <x:v>Heavy</x:v>
      </x:c>
      <x:c r="E61" s="22" t="str">
        <x:v>Review a long contract and obligations</x:v>
      </x:c>
      <x:c r="F61" s="23" t="n">
        <x:v>8</x:v>
      </x:c>
      <x:c r="G61" s="23" t="n">
        <x:v>300</x:v>
      </x:c>
      <x:c r="H61" s="22" t="str">
        <x:v>CONTRACT_25P + COMPANY_POLICY + effective date and golden obligation set</x:v>
      </x:c>
      <x:c r="I61" s="22" t="str">
        <x:v>Using CONTRACT_25P and COMPANY_POLICY, create an obligation register, identify conflicts with policy, deadlines, renewal/termination conditions, data-handling duties, and ambiguous language requiring counsel review. Cite clause numbers for every item. Calculate notice dates from the supplied effective date. Return the register as JSON with id, party, obligation, trigger, deadline, clause, risk. Do not give legal conclusions or invent missing terms.</x:v>
      </x:c>
      <x:c r="J61" s="22" t="str">
        <x:v>Factual Accuracy</x:v>
      </x:c>
      <x:c r="K61" s="22" t="str">
        <x:v>Correctly connects triggers, deadlines, dependencies, and policy conflicts.</x:v>
      </x:c>
      <x:c r="L61" s="22" t="str">
        <x:v>All notice/deadline date calculations exact.</x:v>
      </x:c>
      <x:c r="M61" s="22" t="str">
        <x:v>N/A</x:v>
      </x:c>
      <x:c r="N61" s="22" t="str">
        <x:v>All requested categories; ambiguity escalated rather than resolved.</x:v>
      </x:c>
      <x:c r="O61" s="22" t="str">
        <x:v>Valid obligation-register JSON with exact keys.</x:v>
      </x:c>
      <x:c r="P61" s="22" t="str">
        <x:v>Every atomic claim supported by cited clause; missing terms not invented.</x:v>
      </x:c>
      <x:c r="Q61" s="22" t="str">
        <x:v>N/A</x:v>
      </x:c>
      <x:c r="R61" s="22" t="str">
        <x:v>All golden obligations/conflicts found; dates exact; citations valid; ambiguity preserved.</x:v>
      </x:c>
      <x:c r="S61" s="22" t="str">
        <x:v>Clause coverage + date validator + FActScore-style grounding + schema</x:v>
      </x:c>
      <x:c r="T61" s="24" t="n">
        <x:f>COUNTIF(K61:Q61,"&lt;&gt;N/A")</x:f>
        <x:v>5</x:v>
      </x:c>
      <x:c r="U61" s="25" t="str">
        <x:v>HELM; Timing; BBH; GSM8K; IFEval; JSONSchemaBench; SimpleQA/FActScore</x:v>
      </x:c>
    </x:row>
  </x:sheetData>
  <x:conditionalFormatting sqref="D2:D61">
    <x:cfRule type="containsText" dxfId="0" priority="1" operator="containsText" text="Light"/>
    <x:cfRule type="containsText" dxfId="1" priority="2" operator="containsText" text="Balanced"/>
    <x:cfRule type="containsText" dxfId="2" priority="3" operator="containsText" text="Heavy"/>
  </x:conditionalFormatting>
  <x:pageMargins left="0.7" right="0.7" top="0.75" bottom="0.75" header="0.3" footer="0.3"/>
  <x:tableParts count="1">
    <x:tablePart xmlns:r="http://schemas.openxmlformats.org/officeDocument/2006/relationships" r:id="R1ef06bc01420444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32" hidden="0" customWidth="1"/>
    <x:col min="4" max="4" width="24" hidden="0" customWidth="1"/>
    <x:col min="5" max="5" width="24" hidden="0" customWidth="1"/>
    <x:col min="6" max="6" width="24" hidden="0" customWidth="1"/>
    <x:col min="7" max="7" width="28" hidden="0" customWidth="1"/>
    <x:col min="8" max="8" width="24" hidden="0" customWidth="1"/>
  </x:cols>
  <x:sheetData>
    <x:row r="1" ht="36" customHeight="1">
      <x:c r="A1" s="63" t="str">
        <x:v>Scoring Rubric and Automated Evaluation Rules</x:v>
      </x:c>
      <x:c r="B1" s="63"/>
      <x:c r="C1" s="63"/>
      <x:c r="D1" s="63"/>
      <x:c r="E1" s="63"/>
      <x:c r="F1" s="63"/>
      <x:c r="G1" s="63"/>
      <x:c r="H1" s="63"/>
    </x:row>
    <x:row r="3" ht="44" customHeight="1">
      <x:c r="A3" s="44" t="str">
        <x:v>Level</x:v>
      </x:c>
      <x:c r="B3" s="44" t="str">
        <x:v>Score</x:v>
      </x:c>
      <x:c r="C3" s="44" t="str">
        <x:v>Meaning</x:v>
      </x:c>
      <x:c r="D3" s="44" t="str">
        <x:v>Correctness</x:v>
      </x:c>
      <x:c r="E3" s="44" t="str">
        <x:v>Completeness</x:v>
      </x:c>
      <x:c r="F3" s="44" t="str">
        <x:v>Compliance</x:v>
      </x:c>
      <x:c r="G3" s="44" t="str">
        <x:v>Grounding</x:v>
      </x:c>
      <x:c r="H3" s="44" t="str">
        <x:v>Usefulness</x:v>
      </x:c>
    </x:row>
    <x:row r="4" ht="44" customHeight="1">
      <x:c r="A4" s="46" t="str">
        <x:v>Excellent</x:v>
      </x:c>
      <x:c r="B4" s="46" t="n">
        <x:v>4</x:v>
      </x:c>
      <x:c r="C4" s="46" t="str">
        <x:v>Fully satisfies the dimension</x:v>
      </x:c>
      <x:c r="D4" s="46" t="str">
        <x:v>No material error</x:v>
      </x:c>
      <x:c r="E4" s="46" t="str">
        <x:v>All required content</x:v>
      </x:c>
      <x:c r="F4" s="46" t="str">
        <x:v>All verifiable rules</x:v>
      </x:c>
      <x:c r="G4" s="46" t="str">
        <x:v>Every claim supported</x:v>
      </x:c>
      <x:c r="H4" s="46" t="str">
        <x:v>Ready to use</x:v>
      </x:c>
    </x:row>
    <x:row r="5" ht="44" customHeight="1">
      <x:c r="A5" s="46" t="str">
        <x:v>Good</x:v>
      </x:c>
      <x:c r="B5" s="46" t="n">
        <x:v>3</x:v>
      </x:c>
      <x:c r="C5" s="46" t="str">
        <x:v>Minor non-critical weakness</x:v>
      </x:c>
      <x:c r="D5" s="46" t="str">
        <x:v>Small imprecision</x:v>
      </x:c>
      <x:c r="E5" s="46" t="str">
        <x:v>One minor omission</x:v>
      </x:c>
      <x:c r="F5" s="46" t="str">
        <x:v>One minor miss</x:v>
      </x:c>
      <x:c r="G5" s="46" t="str">
        <x:v>One weakly supported detail</x:v>
      </x:c>
      <x:c r="H5" s="46" t="str">
        <x:v>Useful with light edit</x:v>
      </x:c>
    </x:row>
    <x:row r="6" ht="44" customHeight="1">
      <x:c r="A6" s="46" t="str">
        <x:v>Partial</x:v>
      </x:c>
      <x:c r="B6" s="46" t="n">
        <x:v>2</x:v>
      </x:c>
      <x:c r="C6" s="46" t="str">
        <x:v>Meaningful but incomplete</x:v>
      </x:c>
      <x:c r="D6" s="46" t="str">
        <x:v>Some errors</x:v>
      </x:c>
      <x:c r="E6" s="46" t="str">
        <x:v>Several omissions</x:v>
      </x:c>
      <x:c r="F6" s="46" t="str">
        <x:v>Multiple rule misses</x:v>
      </x:c>
      <x:c r="G6" s="46" t="str">
        <x:v>Mixed supported/unsupported</x:v>
      </x:c>
      <x:c r="H6" s="46" t="str">
        <x:v>Needs revision</x:v>
      </x:c>
    </x:row>
    <x:row r="7" ht="44" customHeight="1">
      <x:c r="A7" s="46" t="str">
        <x:v>Weak</x:v>
      </x:c>
      <x:c r="B7" s="46" t="n">
        <x:v>1</x:v>
      </x:c>
      <x:c r="C7" s="46" t="str">
        <x:v>Little usable value</x:v>
      </x:c>
      <x:c r="D7" s="46" t="str">
        <x:v>Major errors</x:v>
      </x:c>
      <x:c r="E7" s="46" t="str">
        <x:v>Most content missing</x:v>
      </x:c>
      <x:c r="F7" s="46" t="str">
        <x:v>Mostly noncompliant</x:v>
      </x:c>
      <x:c r="G7" s="46" t="str">
        <x:v>Substantial invention</x:v>
      </x:c>
      <x:c r="H7" s="46" t="str">
        <x:v>Major rework</x:v>
      </x:c>
    </x:row>
    <x:row r="8" ht="44" customHeight="1">
      <x:c r="A8" s="46" t="str">
        <x:v>Fail</x:v>
      </x:c>
      <x:c r="B8" s="46" t="n">
        <x:v>0</x:v>
      </x:c>
      <x:c r="C8" s="46" t="str">
        <x:v>Does not perform the task</x:v>
      </x:c>
      <x:c r="D8" s="46" t="str">
        <x:v>Wrong/unsafe</x:v>
      </x:c>
      <x:c r="E8" s="46" t="str">
        <x:v>No usable coverage</x:v>
      </x:c>
      <x:c r="F8" s="46" t="str">
        <x:v>Ignores core instruction</x:v>
      </x:c>
      <x:c r="G8" s="46" t="str">
        <x:v>Ungrounded/hallucinated</x:v>
      </x:c>
      <x:c r="H8" s="46" t="str">
        <x:v>Unusable</x:v>
      </x:c>
    </x:row>
    <x:row r="9" ht="44" customHeight="1"/>
    <x:row r="10" ht="44" customHeight="1">
      <x:c r="A10" s="2" t="str">
        <x:v>Mechanism</x:v>
      </x:c>
      <x:c r="B10" s="2" t="str">
        <x:v>Rule</x:v>
      </x:c>
      <x:c r="C10" s="2" t="str"/>
      <x:c r="D10" s="2" t="str"/>
      <x:c r="E10" s="2" t="str"/>
      <x:c r="F10" s="2" t="str"/>
      <x:c r="G10" s="2" t="str"/>
      <x:c r="H10" s="2" t="str"/>
    </x:row>
    <x:row r="11" ht="44" customHeight="1">
      <x:c r="A11" s="47" t="str">
        <x:v>Dimension normalization</x:v>
      </x:c>
      <x:c r="B11" s="45" t="str">
        <x:v>Convert 0-4 rubric score to 0-100 by multiplying by 25.</x:v>
      </x:c>
      <x:c r="C11" s="45" t="str"/>
      <x:c r="D11" s="45" t="str"/>
      <x:c r="E11" s="45" t="str"/>
      <x:c r="F11" s="45" t="str"/>
      <x:c r="G11" s="45" t="str"/>
      <x:c r="H11" s="45" t="str"/>
    </x:row>
    <x:row r="12" ht="44" customHeight="1">
      <x:c r="A12" s="47" t="str">
        <x:v>Primary weighting</x:v>
      </x:c>
      <x:c r="B12" s="45" t="str">
        <x:v>Primary dimension receives 40% of scenario quality.</x:v>
      </x:c>
      <x:c r="C12" s="45" t="str"/>
      <x:c r="D12" s="45" t="str"/>
      <x:c r="E12" s="45" t="str"/>
      <x:c r="F12" s="45" t="str"/>
      <x:c r="G12" s="45" t="str"/>
      <x:c r="H12" s="45" t="str"/>
    </x:row>
    <x:row r="13" ht="44" customHeight="1">
      <x:c r="A13" s="47" t="str">
        <x:v>Secondary weighting</x:v>
      </x:c>
      <x:c r="B13" s="45" t="str">
        <x:v>Remaining applicable dimensions divide 60% equally.</x:v>
      </x:c>
      <x:c r="C13" s="45" t="str"/>
      <x:c r="D13" s="45" t="str"/>
      <x:c r="E13" s="45" t="str"/>
      <x:c r="F13" s="45" t="str"/>
      <x:c r="G13" s="45" t="str"/>
      <x:c r="H13" s="45" t="str"/>
    </x:row>
    <x:row r="14" ht="44" customHeight="1">
      <x:c r="A14" s="47" t="str">
        <x:v>N/A handling</x:v>
      </x:c>
      <x:c r="B14" s="45" t="str">
        <x:v>Never score or penalize a dimension marked N/A.</x:v>
      </x:c>
      <x:c r="C14" s="45" t="str"/>
      <x:c r="D14" s="45" t="str"/>
      <x:c r="E14" s="45" t="str"/>
      <x:c r="F14" s="45" t="str"/>
      <x:c r="G14" s="45" t="str"/>
      <x:c r="H14" s="45" t="str"/>
    </x:row>
    <x:row r="15" ht="44" customHeight="1">
      <x:c r="A15" s="47" t="str">
        <x:v>Hard gates</x:v>
      </x:c>
      <x:c r="B15" s="45" t="str">
        <x:v>Schema parse failure, wrong exact answer, unsafe code, invented source fact, or missing mandatory section causes scenario failure.</x:v>
      </x:c>
      <x:c r="C15" s="45" t="str"/>
      <x:c r="D15" s="45" t="str"/>
      <x:c r="E15" s="45" t="str"/>
      <x:c r="F15" s="45" t="str"/>
      <x:c r="G15" s="45" t="str"/>
      <x:c r="H15" s="45" t="str"/>
    </x:row>
    <x:row r="16" ht="44" customHeight="1">
      <x:c r="A16" s="47" t="str">
        <x:v>Quality threshold</x:v>
      </x:c>
      <x:c r="B16" s="45" t="str">
        <x:v>Pass at ≥75/100 after weights, provided hard gates pass.</x:v>
      </x:c>
      <x:c r="C16" s="45" t="str"/>
      <x:c r="D16" s="45" t="str"/>
      <x:c r="E16" s="45" t="str"/>
      <x:c r="F16" s="45" t="str"/>
      <x:c r="G16" s="45" t="str"/>
      <x:c r="H16" s="45" t="str"/>
    </x:row>
    <x:row r="17" ht="44" customHeight="1">
      <x:c r="A17" s="47" t="str">
        <x:v>Timing</x:v>
      </x:c>
      <x:c r="B17" s="45" t="str">
        <x:v>Evaluate TTFT and completion separately from quality.</x:v>
      </x:c>
      <x:c r="C17" s="45" t="str"/>
      <x:c r="D17" s="45" t="str"/>
      <x:c r="E17" s="45" t="str"/>
      <x:c r="F17" s="45" t="str"/>
      <x:c r="G17" s="45" t="str"/>
      <x:c r="H17" s="45" t="str"/>
    </x:row>
    <x:row r="18" ht="44" customHeight="1">
      <x:c r="A18" s="47" t="str">
        <x:v>Determinism</x:v>
      </x:c>
      <x:c r="B18" s="45" t="str">
        <x:v>Temperature 0, top_p 1, seed 42, one attempt unless a scenario explicitly tests iteration.</x:v>
      </x:c>
      <x:c r="C18" s="45" t="str"/>
      <x:c r="D18" s="45" t="str"/>
      <x:c r="E18" s="45" t="str"/>
      <x:c r="F18" s="45" t="str"/>
      <x:c r="G18" s="45" t="str"/>
      <x:c r="H18" s="45" t="str"/>
    </x:row>
    <x:row r="19" ht="44" customHeight="1">
      <x:c r="A19" s="47" t="str">
        <x:v>Recommended logs</x:v>
      </x:c>
      <x:c r="B19" s="45" t="str">
        <x:v>Prompt, fixture version, raw output, TTFT, tokens, wall time, all dimension scores, gate results, and grader version.</x:v>
      </x:c>
      <x:c r="C19" s="45" t="str"/>
      <x:c r="D19" s="45" t="str"/>
      <x:c r="E19" s="45" t="str"/>
      <x:c r="F19" s="45" t="str"/>
      <x:c r="G19" s="45" t="str"/>
      <x:c r="H19" s="45" t="str"/>
    </x:row>
  </x:sheetData>
  <x:mergeCells>
    <x:mergeCell ref="A1:H1"/>
    <x:mergeCell ref="B11:H11"/>
    <x:mergeCell ref="B12:H12"/>
    <x:mergeCell ref="B13:H13"/>
    <x:mergeCell ref="B14:H14"/>
    <x:mergeCell ref="B15:H15"/>
    <x:mergeCell ref="B16:H16"/>
    <x:mergeCell ref="B17:H17"/>
    <x:mergeCell ref="B18:H18"/>
    <x:mergeCell ref="B19:H1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70" hidden="0" customWidth="1"/>
    <x:col min="3" max="3" width="70" hidden="0" customWidth="1"/>
  </x:cols>
  <x:sheetData>
    <x:row r="1" ht="45" customHeight="1">
      <x:c r="A1" s="64" t="str">
        <x:v>Topic</x:v>
      </x:c>
      <x:c r="B1" s="64" t="str">
        <x:v>Source</x:v>
      </x:c>
      <x:c r="C1" s="64" t="str">
        <x:v>How it influenced this matrix</x:v>
      </x:c>
    </x:row>
    <x:row r="2" ht="45" customHeight="1">
      <x:c r="A2" s="65" t="str">
        <x:v>Holistic evaluation</x:v>
      </x:c>
      <x:c r="B2" s="65" t="str">
        <x:v>https://arxiv.org/abs/2211.09110</x:v>
      </x:c>
      <x:c r="C2" s="65" t="str">
        <x:v>Use scenario-based, multi-metric evaluation rather than one universal accuracy score.</x:v>
      </x:c>
    </x:row>
    <x:row r="3" ht="45" customHeight="1">
      <x:c r="A3" s="65" t="str">
        <x:v>Instruction following</x:v>
      </x:c>
      <x:c r="B3" s="65" t="str">
        <x:v>https://arxiv.org/abs/2311.07911</x:v>
      </x:c>
      <x:c r="C3" s="65" t="str">
        <x:v>Use verifiable counts, labels, forbidden words, formats, and strict/loose checks.</x:v>
      </x:c>
    </x:row>
    <x:row r="4" ht="45" customHeight="1">
      <x:c r="A4" s="65" t="str">
        <x:v>Reasoning</x:v>
      </x:c>
      <x:c r="B4" s="65" t="str">
        <x:v>https://arxiv.org/abs/2210.09261</x:v>
      </x:c>
      <x:c r="C4" s="65" t="str">
        <x:v>Use multi-step constraint, causal, scheduling, and decision tasks with golden outcomes.</x:v>
      </x:c>
    </x:row>
    <x:row r="5" ht="45" customHeight="1">
      <x:c r="A5" s="65" t="str">
        <x:v>Mathematics</x:v>
      </x:c>
      <x:c r="B5" s="65" t="str">
        <x:v>https://arxiv.org/abs/2110.14168</x:v>
      </x:c>
      <x:c r="C5" s="65" t="str">
        <x:v>Use exact numeric answers and multi-step word-problem verification.</x:v>
      </x:c>
    </x:row>
    <x:row r="6" ht="45" customHeight="1">
      <x:c r="A6" s="65" t="str">
        <x:v>Coding</x:v>
      </x:c>
      <x:c r="B6" s="65" t="str">
        <x:v>https://arxiv.org/abs/2107.03374</x:v>
      </x:c>
      <x:c r="C6" s="65" t="str">
        <x:v>Execute generated code against hidden tests; score functional correctness.</x:v>
      </x:c>
    </x:row>
    <x:row r="7" ht="45" customHeight="1">
      <x:c r="A7" s="65" t="str">
        <x:v>Structured output</x:v>
      </x:c>
      <x:c r="B7" s="65" t="str">
        <x:v>https://github.com/guidance-ai/jsonschemabench</x:v>
      </x:c>
      <x:c r="C7" s="65" t="str">
        <x:v>Separate syntax, schema/structure, and semantic-value correctness.</x:v>
      </x:c>
    </x:row>
    <x:row r="8" ht="45" customHeight="1">
      <x:c r="A8" s="65" t="str">
        <x:v>Short factuality</x:v>
      </x:c>
      <x:c r="B8" s="65" t="str">
        <x:v>https://openai.com/index/introducing-simpleqa/</x:v>
      </x:c>
      <x:c r="C8" s="65" t="str">
        <x:v>Grade direct factual answers against unambiguous references.</x:v>
      </x:c>
    </x:row>
    <x:row r="9" ht="45" customHeight="1">
      <x:c r="A9" s="65" t="str">
        <x:v>Long-form factuality</x:v>
      </x:c>
      <x:c r="B9" s="65" t="str">
        <x:v>https://arxiv.org/abs/2305.14251</x:v>
      </x:c>
      <x:c r="C9" s="65" t="str">
        <x:v>Break long outputs into atomic claims and verify source support.</x:v>
      </x:c>
    </x:row>
    <x:row r="10" ht="45" customHeight="1">
      <x:c r="A10" s="65" t="str">
        <x:v>Creative quality</x:v>
      </x:c>
      <x:c r="B10" s="65" t="str">
        <x:v>https://www.mdpi.com/2076-3417/15/6/2971</x:v>
      </x:c>
      <x:c r="C10" s="65" t="str">
        <x:v>Use fluency, flexibility, originality, elaboration, and usefulness rubrics.</x:v>
      </x:c>
    </x:row>
    <x:row r="11" ht="45" customHeight="1">
      <x:c r="A11" s="65" t="str">
        <x:v>Response-time UX</x:v>
      </x:c>
      <x:c r="B11" s="65" t="str">
        <x:v>https://www.nngroup.com/articles/response-times-3-important-limits/</x:v>
      </x:c>
      <x:c r="C11" s="65" t="str">
        <x:v>Fast feedback matters; &gt;10 seconds without feedback loses attention.</x:v>
      </x:c>
    </x:row>
    <x:row r="12" ht="45" customHeight="1">
      <x:c r="A12" s="65" t="str">
        <x:v>Conversational latency</x:v>
      </x:c>
      <x:c r="B12" s="65" t="str">
        <x:v>https://dl.acm.org/doi/10.1145/3719160.3736636</x:v>
      </x:c>
      <x:c r="C12" s="65" t="str">
        <x:v>Latency above about 4 seconds can degrade conversational quality.</x:v>
      </x:c>
    </x:row>
    <x:row r="13" ht="45" customHeight="1">
      <x:c r="A13" s="65" t="str">
        <x:v>LLM latency by task</x:v>
      </x:c>
      <x:c r="B13" s="65" t="str">
        <x:v>https://arxiv.org/abs/2604.06183</x:v>
      </x:c>
      <x:c r="C13" s="65" t="str">
        <x:v>Longer TTFT may feel thoughtful for complex tasks but can also frustrate.</x:v>
      </x:c>
    </x:row>
    <x:row r="14" ht="45" customHeight="1">
      <x:c r="A14" s="66" t="str">
        <x:v>LLM performance metrics</x:v>
      </x:c>
      <x:c r="B14" s="66" t="str">
        <x:v>https://www.microsoft.com/en-us/research/articles/how-to-evaluate-llms-a-complete-metric-framework/</x:v>
      </x:c>
      <x:c r="C14" s="66" t="str">
        <x:v>Measure TTFT, streaming tokens/second, and end-to-end latency separately.</x:v>
      </x:c>
    </x:row>
  </x:sheetData>
  <x:pageMargins left="0.7" right="0.7" top="0.75" bottom="0.75" header="0.3" footer="0.3"/>
</x:worksheet>
</file>